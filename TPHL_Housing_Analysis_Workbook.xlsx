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ources" sheetId="1" state="visible" r:id="rId3"/>
    <sheet name="Formulas_Used" sheetId="2" state="visible" r:id="rId4"/>
    <sheet name="Prices" sheetId="3" state="visible" r:id="rId5"/>
    <sheet name="Registrations" sheetId="4" state="visible" r:id="rId6"/>
    <sheet name="Affordability" sheetId="5" state="visible" r:id="rId7"/>
    <sheet name="Automation_Scenarios" sheetId="6" state="visible" r:id="rId8"/>
    <sheet name="Keywords" sheetId="7" state="visible" r:id="rId9"/>
    <sheet name="Chat_Log_Fictional" sheetId="8" state="visible" r:id="rId10"/>
    <sheet name="Keyword_Analysis" sheetId="9" state="visible" r:id="rId11"/>
    <sheet name="Weekly_Trend" sheetId="10" state="visible" r:id="rId12"/>
    <sheet name="Product_Roadmap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<sst xmlns="http://schemas.openxmlformats.org/spreadsheetml/2006/main" count="943" uniqueCount="533">
  <si>
    <t xml:space="preserve">#</t>
  </si>
  <si>
    <t xml:space="preserve">Source</t>
  </si>
  <si>
    <t xml:space="preserve">Published</t>
  </si>
  <si>
    <t xml:space="preserve">What was used</t>
  </si>
  <si>
    <t xml:space="preserve">Concord CPS, Secondary Real Estate Market Analysis: Dhaka 2026 Trends (cites Bproperty 2026 listing data)</t>
  </si>
  <si>
    <t xml:space="preserve">14 Jun 2026</t>
  </si>
  <si>
    <t xml:space="preserve">Average asking price per sq ft by area; 12-month trend; gross rental yield; inflation</t>
  </si>
  <si>
    <t xml:space="preserve">The Business Standard, Housing sector sinks deeper amid plunging sales, soaring costs</t>
  </si>
  <si>
    <t xml:space="preserve">16 Jul 2026</t>
  </si>
  <si>
    <t xml:space="preserve">Directorate of Registration apartment deeds 2023 to H1 2026; construction cost; budget taxes; developer cancellations</t>
  </si>
  <si>
    <t xml:space="preserve">The Daily Star, BB cuts policy rate to 9.5%</t>
  </si>
  <si>
    <t xml:space="preserve">30 Jul 2026</t>
  </si>
  <si>
    <t xml:space="preserve">Policy rate 10% to 9.5% (effective 2 Aug 2026); inflation 9.16% in June 2026</t>
  </si>
  <si>
    <t xml:space="preserve">The Daily Star, Household income doubles in 6 years, so does spending (BBS HIES 2022)</t>
  </si>
  <si>
    <t xml:space="preserve">18 Dec 2023</t>
  </si>
  <si>
    <t xml:space="preserve">Average monthly household income: national Tk 32,422; urban Tk 45,757 (2022)</t>
  </si>
  <si>
    <t xml:space="preserve">Angan Properties, Flat Prices in Dhaka: Area-Wise Rates &amp; Trends</t>
  </si>
  <si>
    <t xml:space="preserve">8 Jan 2026 (updated 14 Mar 2026)</t>
  </si>
  <si>
    <t xml:space="preserve">Cross-check only: price ranges are wider and higher than [1]; source of its figures not stated</t>
  </si>
  <si>
    <t xml:space="preserve">BRAC Bank, Base rate page (Bangladesh Bank published data)</t>
  </si>
  <si>
    <t xml:space="preserve">Nov 2025 data</t>
  </si>
  <si>
    <t xml:space="preserve">Base rate 9.65%; home loan = base rate + bank margin (margin not published on page)</t>
  </si>
  <si>
    <t xml:space="preserve">Notes</t>
  </si>
  <si>
    <t xml:space="preserve">Asking prices are listing prices, not transaction prices. Registered (declared) values are usually below market value.</t>
  </si>
  <si>
    <t xml:space="preserve">Sources partly conflict (for example the Mirpur price trend). The workbook shows the figure from [1] and flags the conflict in the report.</t>
  </si>
  <si>
    <t xml:space="preserve">Yellow cells in other sheets are assumptions that can be changed; all results recalculate.</t>
  </si>
  <si>
    <t xml:space="preserve">Prepared by Md. Tanjin ul Haque in Excel, with AI assistance for drafting and for checking calculations.</t>
  </si>
  <si>
    <t xml:space="preserve">Formulas used in this workbook (column C reads the live formula from the sheet; column E shows its current result)</t>
  </si>
  <si>
    <t xml:space="preserve">Sheet</t>
  </si>
  <si>
    <t xml:space="preserve">Cell</t>
  </si>
  <si>
    <t xml:space="preserve">Live formula</t>
  </si>
  <si>
    <t xml:space="preserve">What it does</t>
  </si>
  <si>
    <t xml:space="preserve">Result now</t>
  </si>
  <si>
    <t xml:space="preserve">Prices</t>
  </si>
  <si>
    <t xml:space="preserve">E2</t>
  </si>
  <si>
    <t xml:space="preserve">Price of each area as a multiple of Mirpur (the cheapest area).</t>
  </si>
  <si>
    <t xml:space="preserve">Registrations</t>
  </si>
  <si>
    <t xml:space="preserve">D2</t>
  </si>
  <si>
    <t xml:space="preserve">Average declared value per deed, converted from Tk crore to Tk lakh (x100).</t>
  </si>
  <si>
    <t xml:space="preserve">F2</t>
  </si>
  <si>
    <t xml:space="preserve">Puts full years on a half-year basis so they compare fairly with H1 2026.</t>
  </si>
  <si>
    <t xml:space="preserve">C10</t>
  </si>
  <si>
    <t xml:space="preserve">Backs out the base-period deeds implied by the reported % change.</t>
  </si>
  <si>
    <t xml:space="preserve">D10</t>
  </si>
  <si>
    <t xml:space="preserve">Check: recomputes the % change from the implied base; should equal the reported figure.</t>
  </si>
  <si>
    <t xml:space="preserve">Affordability</t>
  </si>
  <si>
    <t xml:space="preserve">Unit price = price per sq ft x unit size.</t>
  </si>
  <si>
    <t xml:space="preserve">Loan = unit price x share financed.</t>
  </si>
  <si>
    <t xml:space="preserve">E10</t>
  </si>
  <si>
    <t xml:space="preserve">Monthly EMI with PMT(rate per month, number of months, loan).</t>
  </si>
  <si>
    <t xml:space="preserve">F10</t>
  </si>
  <si>
    <t xml:space="preserve">Income needed so that EMI is no more than the chosen share of income.</t>
  </si>
  <si>
    <t xml:space="preserve">G10</t>
  </si>
  <si>
    <t xml:space="preserve">Income needed as a multiple of average urban household income.</t>
  </si>
  <si>
    <t xml:space="preserve">B20</t>
  </si>
  <si>
    <t xml:space="preserve">Same EMI formula, using each scenario interest rate.</t>
  </si>
  <si>
    <t xml:space="preserve">Automation_Scenarios</t>
  </si>
  <si>
    <t xml:space="preserve">B5</t>
  </si>
  <si>
    <t xml:space="preserve">Minutes saved per check = average manual time minus average automated time.</t>
  </si>
  <si>
    <t xml:space="preserve">C8</t>
  </si>
  <si>
    <t xml:space="preserve">Minutes saved per week converted to hours.</t>
  </si>
  <si>
    <t xml:space="preserve">D8</t>
  </si>
  <si>
    <t xml:space="preserve">Hours per week x 4.33 weeks = hours per month.</t>
  </si>
  <si>
    <t xml:space="preserve">Chat_Log_Fictional</t>
  </si>
  <si>
    <t xml:space="preserve">H3</t>
  </si>
  <si>
    <t xml:space="preserve">Keyword tagging: SEARCH looks for each phrase in the message, SUMPRODUCT counts matches, IF turns it into 1 or 0.</t>
  </si>
  <si>
    <t xml:space="preserve">N3</t>
  </si>
  <si>
    <t xml:space="preserve">Number of themes matched by the chat.</t>
  </si>
  <si>
    <t xml:space="preserve">O3</t>
  </si>
  <si>
    <t xml:space="preserve">First matching theme, or 'Other' when none matched (INDEX + MATCH).</t>
  </si>
  <si>
    <t xml:space="preserve">Keyword_Analysis</t>
  </si>
  <si>
    <t xml:space="preserve">B2</t>
  </si>
  <si>
    <t xml:space="preserve">Total number of chats (COUNTA of the ID column).</t>
  </si>
  <si>
    <t xml:space="preserve">Chats mentioning the theme (sum of the 1/0 flags).</t>
  </si>
  <si>
    <t xml:space="preserve">C5</t>
  </si>
  <si>
    <t xml:space="preserve">Share of all chats.</t>
  </si>
  <si>
    <t xml:space="preserve">D5</t>
  </si>
  <si>
    <t xml:space="preserve">Average handle time of chats with the theme (SUMPRODUCT of flag x minutes / count).</t>
  </si>
  <si>
    <t xml:space="preserve">E5</t>
  </si>
  <si>
    <t xml:space="preserve">Total handling hours = chats x average minutes / 60.</t>
  </si>
  <si>
    <t xml:space="preserve">F5</t>
  </si>
  <si>
    <t xml:space="preserve">Average CSAT of chats with the theme.</t>
  </si>
  <si>
    <t xml:space="preserve">G5</t>
  </si>
  <si>
    <t xml:space="preserve">Repeat-contact rate: chats with the theme and 'Y' / chats with the theme.</t>
  </si>
  <si>
    <t xml:space="preserve">H5</t>
  </si>
  <si>
    <t xml:space="preserve">Pain score = hours x (1 + repeat rate) x (5 - CSAT). Ranking aid only.</t>
  </si>
  <si>
    <t xml:space="preserve">I5</t>
  </si>
  <si>
    <t xml:space="preserve">Rank of the pain score (1 = fix first).</t>
  </si>
  <si>
    <t xml:space="preserve">B11</t>
  </si>
  <si>
    <t xml:space="preserve">Chats where no keyword matched (COUNTIF of 0 themes).</t>
  </si>
  <si>
    <t xml:space="preserve">Weekly_Trend</t>
  </si>
  <si>
    <t xml:space="preserve">B3</t>
  </si>
  <si>
    <t xml:space="preserve">Chats per week for a theme (SUMIFS on the flag column and the week).</t>
  </si>
  <si>
    <t xml:space="preserve">B14</t>
  </si>
  <si>
    <t xml:space="preserve">Weeks 5-7 average divided by weeks 1-4 average.</t>
  </si>
  <si>
    <t xml:space="preserve">B15</t>
  </si>
  <si>
    <t xml:space="preserve">Alert if the rise is over 1.5x.</t>
  </si>
  <si>
    <t xml:space="preserve">Product_Roadmap</t>
  </si>
  <si>
    <t xml:space="preserve">B4</t>
  </si>
  <si>
    <t xml:space="preserve">Builds a sentence from live numbers (text joined with &amp;, TEXT for formatting).</t>
  </si>
  <si>
    <t xml:space="preserve">E4</t>
  </si>
  <si>
    <t xml:space="preserve">Chats avoided per week = chats / 8 weeks x assumed reduction.</t>
  </si>
  <si>
    <t xml:space="preserve">F4</t>
  </si>
  <si>
    <t xml:space="preserve">Hours saved per week = chats avoided x average minutes / 60.</t>
  </si>
  <si>
    <t xml:space="preserve">Area</t>
  </si>
  <si>
    <t xml:space="preserve">Avg asking price (Tk per sq ft)</t>
  </si>
  <si>
    <t xml:space="preserve">Gross rental yield (%)</t>
  </si>
  <si>
    <t xml:space="preserve">12-month trend (as stated in [1])</t>
  </si>
  <si>
    <t xml:space="preserve">Price vs Mirpur (x)</t>
  </si>
  <si>
    <t xml:space="preserve">Gulshan</t>
  </si>
  <si>
    <t xml:space="preserve">Strong positive</t>
  </si>
  <si>
    <t xml:space="preserve">[1]</t>
  </si>
  <si>
    <t xml:space="preserve">Banani</t>
  </si>
  <si>
    <t xml:space="preserve">Positive</t>
  </si>
  <si>
    <t xml:space="preserve">Dhanmondi</t>
  </si>
  <si>
    <t xml:space="preserve">Slightly negative / stable</t>
  </si>
  <si>
    <t xml:space="preserve">Bashundhara</t>
  </si>
  <si>
    <t xml:space="preserve">Negative</t>
  </si>
  <si>
    <t xml:space="preserve">Uttara</t>
  </si>
  <si>
    <t xml:space="preserve">Mild positive</t>
  </si>
  <si>
    <t xml:space="preserve">Mirpur</t>
  </si>
  <si>
    <t xml:space="preserve">Uttara and Bashundhara yields are given as a 3.2% to 3.3% range in [1]; 3.25% is the midpoint.</t>
  </si>
  <si>
    <t xml:space="preserve">Period</t>
  </si>
  <si>
    <t xml:space="preserve">Apartment deeds</t>
  </si>
  <si>
    <t xml:space="preserve">Declared value (Tk crore)</t>
  </si>
  <si>
    <t xml:space="preserve">Avg declared value per deed (Tk lakh)</t>
  </si>
  <si>
    <t xml:space="preserve">Note</t>
  </si>
  <si>
    <t xml:space="preserve">Deeds per half-year (for fair chart)</t>
  </si>
  <si>
    <t xml:space="preserve">2023</t>
  </si>
  <si>
    <t xml:space="preserve">Full year</t>
  </si>
  <si>
    <t xml:space="preserve">2024</t>
  </si>
  <si>
    <t xml:space="preserve">2025</t>
  </si>
  <si>
    <t xml:space="preserve">H1 2026 (Jan-Jun)</t>
  </si>
  <si>
    <t xml:space="preserve">Half year; Dhaka accounted for 29,913</t>
  </si>
  <si>
    <t xml:space="preserve">H1 2026 change vs (as reported in [2])</t>
  </si>
  <si>
    <t xml:space="preserve">Comparison</t>
  </si>
  <si>
    <t xml:space="preserve">Reported change</t>
  </si>
  <si>
    <t xml:space="preserve">Implied base deeds</t>
  </si>
  <si>
    <t xml:space="preserve">Check: H1 2026 / base - 1</t>
  </si>
  <si>
    <t xml:space="preserve">2025 half-year average</t>
  </si>
  <si>
    <t xml:space="preserve">Jan-Jun 2024</t>
  </si>
  <si>
    <t xml:space="preserve">Jan-Jun 2023</t>
  </si>
  <si>
    <t xml:space="preserve">Declared values are registration values, not market prices. Source: Directorate of Registration, as reported in [2].</t>
  </si>
  <si>
    <t xml:space="preserve">Assumptions (yellow cells can be changed)</t>
  </si>
  <si>
    <t xml:space="preserve">Unit size (sq ft)</t>
  </si>
  <si>
    <t xml:space="preserve">Share of price financed by loan</t>
  </si>
  <si>
    <t xml:space="preserve">Loan tenure (years)</t>
  </si>
  <si>
    <t xml:space="preserve">Loan interest rate (annual)</t>
  </si>
  <si>
    <t xml:space="preserve">Max EMI as share of monthly household income</t>
  </si>
  <si>
    <t xml:space="preserve">Reference: avg urban household income, Tk per month (HIES 2022) [4]</t>
  </si>
  <si>
    <t xml:space="preserve">Price per sq ft</t>
  </si>
  <si>
    <t xml:space="preserve">Unit price (Tk)</t>
  </si>
  <si>
    <t xml:space="preserve">Loan (Tk)</t>
  </si>
  <si>
    <t xml:space="preserve">Monthly EMI (Tk)</t>
  </si>
  <si>
    <t xml:space="preserve">Income needed per month (Tk)</t>
  </si>
  <si>
    <t xml:space="preserve">Multiple of avg urban household income</t>
  </si>
  <si>
    <t xml:space="preserve">Avg urban household income (reference)</t>
  </si>
  <si>
    <t xml:space="preserve">Rate sensitivity: income needed per month for a Mirpur-priced unit</t>
  </si>
  <si>
    <t xml:space="preserve">Interest rate</t>
  </si>
  <si>
    <t xml:space="preserve">Interest rate context: policy rate cut to 9.5% from 10% (effective 2 Aug 2026) [3]; a bank base rate of 9.65% (Nov 2025) [6]. A home loan adds a bank margin, so 10% to 14% is used as a scenario range, not a quoted rate.</t>
  </si>
  <si>
    <t xml:space="preserve">Income reference is 2022 data and incomes have risen since; inflation was 9.16% in June 2026 [3]. Treat the multiple as indicative.</t>
  </si>
  <si>
    <t xml:space="preserve">Time saved by the automation: scenarios (replace the yellow cells with real counts)</t>
  </si>
  <si>
    <t xml:space="preserve">Manual time per check, minutes (low / high)</t>
  </si>
  <si>
    <t xml:space="preserve">Automated time per check, minutes (low / high)</t>
  </si>
  <si>
    <t xml:space="preserve">Minutes saved per check (midpoint)</t>
  </si>
  <si>
    <t xml:space="preserve">Checks per week (scenario)</t>
  </si>
  <si>
    <t xml:space="preserve">Minutes saved per week</t>
  </si>
  <si>
    <t xml:space="preserve">Hours saved per week</t>
  </si>
  <si>
    <t xml:space="preserve">Hours saved per month (4.33 weeks)</t>
  </si>
  <si>
    <t xml:space="preserve">These are scenarios, not reported results. The real number of checks per week is needed to state actual hours saved.</t>
  </si>
  <si>
    <t xml:space="preserve">Keyword dictionary (FICTIONAL, editable). Each theme is a list of phrases; a chat is tagged to a theme if its text contains any phrase.</t>
  </si>
  <si>
    <t xml:space="preserve">Phrase #</t>
  </si>
  <si>
    <t xml:space="preserve">Market data</t>
  </si>
  <si>
    <t xml:space="preserve">Account status</t>
  </si>
  <si>
    <t xml:space="preserve">Closure or limit reason</t>
  </si>
  <si>
    <t xml:space="preserve">Payout or review</t>
  </si>
  <si>
    <t xml:space="preserve">Sign-in or verification</t>
  </si>
  <si>
    <t xml:space="preserve">Platform setup</t>
  </si>
  <si>
    <t xml:space="preserve">blank chart</t>
  </si>
  <si>
    <t xml:space="preserve">which account</t>
  </si>
  <si>
    <t xml:space="preserve">why was my account closed</t>
  </si>
  <si>
    <t xml:space="preserve">payout</t>
  </si>
  <si>
    <t xml:space="preserve">can't log in</t>
  </si>
  <si>
    <t xml:space="preserve">how do i</t>
  </si>
  <si>
    <t xml:space="preserve">no prices</t>
  </si>
  <si>
    <t xml:space="preserve">on hold</t>
  </si>
  <si>
    <t xml:space="preserve">breached</t>
  </si>
  <si>
    <t xml:space="preserve">withdrawal</t>
  </si>
  <si>
    <t xml:space="preserve">verification</t>
  </si>
  <si>
    <t xml:space="preserve">setup</t>
  </si>
  <si>
    <t xml:space="preserve">market data</t>
  </si>
  <si>
    <t xml:space="preserve">active accounts</t>
  </si>
  <si>
    <t xml:space="preserve">drawdown</t>
  </si>
  <si>
    <t xml:space="preserve">review</t>
  </si>
  <si>
    <t xml:space="preserve">password</t>
  </si>
  <si>
    <t xml:space="preserve">install</t>
  </si>
  <si>
    <t xml:space="preserve">delayed</t>
  </si>
  <si>
    <t xml:space="preserve">can't find my account</t>
  </si>
  <si>
    <t xml:space="preserve">rule violation</t>
  </si>
  <si>
    <t xml:space="preserve">how long</t>
  </si>
  <si>
    <t xml:space="preserve">2fa</t>
  </si>
  <si>
    <t xml:space="preserve">connect</t>
  </si>
  <si>
    <t xml:space="preserve">no data</t>
  </si>
  <si>
    <t xml:space="preserve">account status</t>
  </si>
  <si>
    <t xml:space="preserve">daily loss</t>
  </si>
  <si>
    <t xml:space="preserve">pending</t>
  </si>
  <si>
    <t xml:space="preserve">email code</t>
  </si>
  <si>
    <t xml:space="preserve">download</t>
  </si>
  <si>
    <t xml:space="preserve">FICTIONAL sample: 153 trader chats over 8 weeks (no real client or conversation). Columns H to M are formulas that tag each chat by keyword.</t>
  </si>
  <si>
    <t xml:space="preserve">Chat ID</t>
  </si>
  <si>
    <t xml:space="preserve">Week</t>
  </si>
  <si>
    <t xml:space="preserve">Client stage</t>
  </si>
  <si>
    <t xml:space="preserve">Message (fictional)</t>
  </si>
  <si>
    <t xml:space="preserve">Handle time (min)</t>
  </si>
  <si>
    <t xml:space="preserve">CSAT (1-5)</t>
  </si>
  <si>
    <t xml:space="preserve">Repeat contact (Y/N)</t>
  </si>
  <si>
    <t xml:space="preserve">Themes matched</t>
  </si>
  <si>
    <t xml:space="preserve">Primary theme</t>
  </si>
  <si>
    <t xml:space="preserve">C001</t>
  </si>
  <si>
    <t xml:space="preserve">Active</t>
  </si>
  <si>
    <t xml:space="preserve">Hello, where can i enable market data in the platform settings?</t>
  </si>
  <si>
    <t xml:space="preserve">N</t>
  </si>
  <si>
    <t xml:space="preserve">C002</t>
  </si>
  <si>
    <t xml:space="preserve">Hey there, where can i enable market data in the platform settings?</t>
  </si>
  <si>
    <t xml:space="preserve">Y</t>
  </si>
  <si>
    <t xml:space="preserve">C003</t>
  </si>
  <si>
    <t xml:space="preserve">Hello, one of my accounts is on hold, why?</t>
  </si>
  <si>
    <t xml:space="preserve">C004</t>
  </si>
  <si>
    <t xml:space="preserve">Hey there, what is the account status of my passed accounts?. also, the verification step keeps failing</t>
  </si>
  <si>
    <t xml:space="preserve">C005</t>
  </si>
  <si>
    <t xml:space="preserve">New</t>
  </si>
  <si>
    <t xml:space="preserve">Hello, i need help with the setup of my second monitor layout</t>
  </si>
  <si>
    <t xml:space="preserve">C006</t>
  </si>
  <si>
    <t xml:space="preserve">Hey there, why was my account closed? i did not see any warning</t>
  </si>
  <si>
    <t xml:space="preserve">C007</t>
  </si>
  <si>
    <t xml:space="preserve">Hey there, i want to give feedback on the support team</t>
  </si>
  <si>
    <t xml:space="preserve">C008</t>
  </si>
  <si>
    <t xml:space="preserve">Hi, how many active accounts can i have at the same time?</t>
  </si>
  <si>
    <t xml:space="preserve">C009</t>
  </si>
  <si>
    <t xml:space="preserve">Good evening, where can i enable market data in the platform settings?</t>
  </si>
  <si>
    <t xml:space="preserve">C010</t>
  </si>
  <si>
    <t xml:space="preserve">Hey there, the review for my account has been open since monday</t>
  </si>
  <si>
    <t xml:space="preserve">C011</t>
  </si>
  <si>
    <t xml:space="preserve">Good evening, my account breached but i think the calculation is wrong</t>
  </si>
  <si>
    <t xml:space="preserve">C012</t>
  </si>
  <si>
    <t xml:space="preserve">Hey there, how long does the payout review take?</t>
  </si>
  <si>
    <t xml:space="preserve">C013</t>
  </si>
  <si>
    <t xml:space="preserve">Hello, how do i add indicators to the chart?</t>
  </si>
  <si>
    <t xml:space="preserve">C014</t>
  </si>
  <si>
    <t xml:space="preserve">Hello, i forgot my password and the reset email never came</t>
  </si>
  <si>
    <t xml:space="preserve">C015</t>
  </si>
  <si>
    <t xml:space="preserve">Hi, why was my account closed? i did not see any warning</t>
  </si>
  <si>
    <t xml:space="preserve">C016</t>
  </si>
  <si>
    <t xml:space="preserve">Good evening, do you have a referral program?</t>
  </si>
  <si>
    <t xml:space="preserve">C017</t>
  </si>
  <si>
    <t xml:space="preserve">Hey there, when will my payout arrive? it has been pending for days</t>
  </si>
  <si>
    <t xml:space="preserve">C018</t>
  </si>
  <si>
    <t xml:space="preserve">Good evening, my prices look delayed by a few minutes compared with my other screen</t>
  </si>
  <si>
    <t xml:space="preserve">C019</t>
  </si>
  <si>
    <t xml:space="preserve">Good evening, how do i install the platform on my laptop?</t>
  </si>
  <si>
    <t xml:space="preserve">C020</t>
  </si>
  <si>
    <t xml:space="preserve">Hey there, is there any way to reinstate an account that breached yesterday?</t>
  </si>
  <si>
    <t xml:space="preserve">C021</t>
  </si>
  <si>
    <t xml:space="preserve">I need help with the setup of my second monitor layout</t>
  </si>
  <si>
    <t xml:space="preserve">C022</t>
  </si>
  <si>
    <t xml:space="preserve">C023</t>
  </si>
  <si>
    <t xml:space="preserve">Good evening, can you recommend a good trading course?</t>
  </si>
  <si>
    <t xml:space="preserve">C024</t>
  </si>
  <si>
    <t xml:space="preserve">Hi, is there any way to reinstate an account that breached yesterday?</t>
  </si>
  <si>
    <t xml:space="preserve">C025</t>
  </si>
  <si>
    <t xml:space="preserve">Which account is currently active? i have several</t>
  </si>
  <si>
    <t xml:space="preserve">C026</t>
  </si>
  <si>
    <t xml:space="preserve">Hey there, my withdrawal request is still waiting</t>
  </si>
  <si>
    <t xml:space="preserve">C027</t>
  </si>
  <si>
    <t xml:space="preserve">How is the drawdown calculated on my account?</t>
  </si>
  <si>
    <t xml:space="preserve">C028</t>
  </si>
  <si>
    <t xml:space="preserve">Hi, what is the way to activate market data for my account?</t>
  </si>
  <si>
    <t xml:space="preserve">C029</t>
  </si>
  <si>
    <t xml:space="preserve">Hello, hello, anyone there?</t>
  </si>
  <si>
    <t xml:space="preserve">C030</t>
  </si>
  <si>
    <t xml:space="preserve">How long until the withdrawal reaches my bank?</t>
  </si>
  <si>
    <t xml:space="preserve">C031</t>
  </si>
  <si>
    <t xml:space="preserve">Can you tell me the status of my review?</t>
  </si>
  <si>
    <t xml:space="preserve">C032</t>
  </si>
  <si>
    <t xml:space="preserve">Hey there, i forgot my password and the reset email never came</t>
  </si>
  <si>
    <t xml:space="preserve">C033</t>
  </si>
  <si>
    <t xml:space="preserve">The reset password link has expired</t>
  </si>
  <si>
    <t xml:space="preserve">C034</t>
  </si>
  <si>
    <t xml:space="preserve">Hey there, one of my accounts is on hold, why?</t>
  </si>
  <si>
    <t xml:space="preserve">C035</t>
  </si>
  <si>
    <t xml:space="preserve">C036</t>
  </si>
  <si>
    <t xml:space="preserve">Hello, i have no data on the chart for the main index contract</t>
  </si>
  <si>
    <t xml:space="preserve">C037</t>
  </si>
  <si>
    <t xml:space="preserve">Hello, i got a rule violation notice, what did i do wrong?</t>
  </si>
  <si>
    <t xml:space="preserve">C038</t>
  </si>
  <si>
    <t xml:space="preserve">C039</t>
  </si>
  <si>
    <t xml:space="preserve">C040</t>
  </si>
  <si>
    <t xml:space="preserve">Hey there, where can i see my payout history?</t>
  </si>
  <si>
    <t xml:space="preserve">C041</t>
  </si>
  <si>
    <t xml:space="preserve">Hello, do you have a referral program?</t>
  </si>
  <si>
    <t xml:space="preserve">C042</t>
  </si>
  <si>
    <t xml:space="preserve">Hey there, i got a rule violation notice, what did i do wrong?</t>
  </si>
  <si>
    <t xml:space="preserve">C043</t>
  </si>
  <si>
    <t xml:space="preserve">How do i install the platform on my laptop?</t>
  </si>
  <si>
    <t xml:space="preserve">C044</t>
  </si>
  <si>
    <t xml:space="preserve">Hello, i can't find my account in the dashboard</t>
  </si>
  <si>
    <t xml:space="preserve">C045</t>
  </si>
  <si>
    <t xml:space="preserve">C046</t>
  </si>
  <si>
    <t xml:space="preserve">Hello, which account is currently active? i have several</t>
  </si>
  <si>
    <t xml:space="preserve">C047</t>
  </si>
  <si>
    <t xml:space="preserve">I can't find my account in the dashboard</t>
  </si>
  <si>
    <t xml:space="preserve">C048</t>
  </si>
  <si>
    <t xml:space="preserve">C049</t>
  </si>
  <si>
    <t xml:space="preserve">Hi, is there a discount this month?</t>
  </si>
  <si>
    <t xml:space="preserve">C050</t>
  </si>
  <si>
    <t xml:space="preserve">Good evening, there are no prices on my screen, is the platform down?</t>
  </si>
  <si>
    <t xml:space="preserve">C051</t>
  </si>
  <si>
    <t xml:space="preserve">Is my payout approved yet?</t>
  </si>
  <si>
    <t xml:space="preserve">C052</t>
  </si>
  <si>
    <t xml:space="preserve">Good evening, is there any way to reinstate an account that breached yesterday?</t>
  </si>
  <si>
    <t xml:space="preserve">C053</t>
  </si>
  <si>
    <t xml:space="preserve">Where can i enable market data in the platform settings?</t>
  </si>
  <si>
    <t xml:space="preserve">C054</t>
  </si>
  <si>
    <t xml:space="preserve">Hey there, i never received the email code. also, there are no prices on my screen, is the platform down?</t>
  </si>
  <si>
    <t xml:space="preserve">C055</t>
  </si>
  <si>
    <t xml:space="preserve">Good evening, i need help with the setup of my second monitor layout</t>
  </si>
  <si>
    <t xml:space="preserve">C056</t>
  </si>
  <si>
    <t xml:space="preserve">Hey there, where do i download the mobile version?</t>
  </si>
  <si>
    <t xml:space="preserve">C057</t>
  </si>
  <si>
    <t xml:space="preserve">Good evening, how is the drawdown calculated on my account?</t>
  </si>
  <si>
    <t xml:space="preserve">C058</t>
  </si>
  <si>
    <t xml:space="preserve">Good evening, blank chart after logging in to the trading platform</t>
  </si>
  <si>
    <t xml:space="preserve">C059</t>
  </si>
  <si>
    <t xml:space="preserve">How many active accounts can i have at the same time?</t>
  </si>
  <si>
    <t xml:space="preserve">C060</t>
  </si>
  <si>
    <t xml:space="preserve">Good evening, where can i see my payout history?</t>
  </si>
  <si>
    <t xml:space="preserve">C061</t>
  </si>
  <si>
    <t xml:space="preserve">Good evening, what is the way to activate market data for my account?</t>
  </si>
  <si>
    <t xml:space="preserve">C062</t>
  </si>
  <si>
    <t xml:space="preserve">Good evening, how many active accounts can i have at the same time?</t>
  </si>
  <si>
    <t xml:space="preserve">C063</t>
  </si>
  <si>
    <t xml:space="preserve">The drawdown number on the dashboard does not match what i see</t>
  </si>
  <si>
    <t xml:space="preserve">C064</t>
  </si>
  <si>
    <t xml:space="preserve">C065</t>
  </si>
  <si>
    <t xml:space="preserve">Hi, how long does the payout review take?</t>
  </si>
  <si>
    <t xml:space="preserve">C066</t>
  </si>
  <si>
    <t xml:space="preserve">Hello, can you recommend a good trading course?</t>
  </si>
  <si>
    <t xml:space="preserve">C067</t>
  </si>
  <si>
    <t xml:space="preserve">C068</t>
  </si>
  <si>
    <t xml:space="preserve">Hey there, my account status looks different from yesterday</t>
  </si>
  <si>
    <t xml:space="preserve">C069</t>
  </si>
  <si>
    <t xml:space="preserve">Hi, the drawdown number on the dashboard does not match what i see</t>
  </si>
  <si>
    <t xml:space="preserve">C070</t>
  </si>
  <si>
    <t xml:space="preserve">Hey there, my 2fa code is not working on a new phone</t>
  </si>
  <si>
    <t xml:space="preserve">C071</t>
  </si>
  <si>
    <t xml:space="preserve">How do i change the chart template?</t>
  </si>
  <si>
    <t xml:space="preserve">C072</t>
  </si>
  <si>
    <t xml:space="preserve">Good evening, the review for my account has been open since monday</t>
  </si>
  <si>
    <t xml:space="preserve">C073</t>
  </si>
  <si>
    <t xml:space="preserve">C074</t>
  </si>
  <si>
    <t xml:space="preserve">Hey there, there are no prices on my screen, is the platform down?</t>
  </si>
  <si>
    <t xml:space="preserve">C075</t>
  </si>
  <si>
    <t xml:space="preserve">C076</t>
  </si>
  <si>
    <t xml:space="preserve">How long does the payout review take?</t>
  </si>
  <si>
    <t xml:space="preserve">C077</t>
  </si>
  <si>
    <t xml:space="preserve">C078</t>
  </si>
  <si>
    <t xml:space="preserve">C079</t>
  </si>
  <si>
    <t xml:space="preserve">Hey there, my prices look delayed by a few minutes compared with my other screen. also, i want to connect the platform to my data feed</t>
  </si>
  <si>
    <t xml:space="preserve">C080</t>
  </si>
  <si>
    <t xml:space="preserve">Blank chart after logging in to the trading platform</t>
  </si>
  <si>
    <t xml:space="preserve">C081</t>
  </si>
  <si>
    <t xml:space="preserve">Hello, blank chart again today, same problem as last week</t>
  </si>
  <si>
    <t xml:space="preserve">C082</t>
  </si>
  <si>
    <t xml:space="preserve">C083</t>
  </si>
  <si>
    <t xml:space="preserve">Hi, my prices look delayed by a few minutes compared with my other screen</t>
  </si>
  <si>
    <t xml:space="preserve">C084</t>
  </si>
  <si>
    <t xml:space="preserve">C085</t>
  </si>
  <si>
    <t xml:space="preserve">C086</t>
  </si>
  <si>
    <t xml:space="preserve">C087</t>
  </si>
  <si>
    <t xml:space="preserve">Hi, i can't find my account in the dashboard</t>
  </si>
  <si>
    <t xml:space="preserve">C088</t>
  </si>
  <si>
    <t xml:space="preserve">Hey there, how do i change the chart template?</t>
  </si>
  <si>
    <t xml:space="preserve">C089</t>
  </si>
  <si>
    <t xml:space="preserve">C090</t>
  </si>
  <si>
    <t xml:space="preserve">Hi, my account breached but i think the calculation is wrong</t>
  </si>
  <si>
    <t xml:space="preserve">C091</t>
  </si>
  <si>
    <t xml:space="preserve">Good evening, how long does the payout review take?</t>
  </si>
  <si>
    <t xml:space="preserve">C092</t>
  </si>
  <si>
    <t xml:space="preserve">Hey there, thanks, just checking if you are available on weekends</t>
  </si>
  <si>
    <t xml:space="preserve">C093</t>
  </si>
  <si>
    <t xml:space="preserve">Hi, how do i add indicators to the chart?</t>
  </si>
  <si>
    <t xml:space="preserve">C094</t>
  </si>
  <si>
    <t xml:space="preserve">Good evening, the drawdown number on the dashboard does not match what i see</t>
  </si>
  <si>
    <t xml:space="preserve">C095</t>
  </si>
  <si>
    <t xml:space="preserve">C096</t>
  </si>
  <si>
    <t xml:space="preserve">Hi, do you have a referral program?</t>
  </si>
  <si>
    <t xml:space="preserve">C097</t>
  </si>
  <si>
    <t xml:space="preserve">Hello, what is the account status of my passed accounts?</t>
  </si>
  <si>
    <t xml:space="preserve">C098</t>
  </si>
  <si>
    <t xml:space="preserve">Hey there, my prices look delayed by a few minutes compared with my other screen</t>
  </si>
  <si>
    <t xml:space="preserve">C099</t>
  </si>
  <si>
    <t xml:space="preserve">Good evening, can you check which account is on hold for me?</t>
  </si>
  <si>
    <t xml:space="preserve">C100</t>
  </si>
  <si>
    <t xml:space="preserve">Hey there, was the daily loss limit hit by open trades or closed trades?</t>
  </si>
  <si>
    <t xml:space="preserve">C101</t>
  </si>
  <si>
    <t xml:space="preserve">Hello, is there a discount this month?</t>
  </si>
  <si>
    <t xml:space="preserve">C102</t>
  </si>
  <si>
    <t xml:space="preserve">C103</t>
  </si>
  <si>
    <t xml:space="preserve">Hi, there are no prices on my screen, is the platform down?</t>
  </si>
  <si>
    <t xml:space="preserve">C104</t>
  </si>
  <si>
    <t xml:space="preserve">Market data stopped working after the update. also, i got a rule violation notice, what did i do wrong?</t>
  </si>
  <si>
    <t xml:space="preserve">C105</t>
  </si>
  <si>
    <t xml:space="preserve">C106</t>
  </si>
  <si>
    <t xml:space="preserve">Hello, is my payout approved yet?</t>
  </si>
  <si>
    <t xml:space="preserve">C107</t>
  </si>
  <si>
    <t xml:space="preserve">Hey there, blank chart after logging in to the trading platform</t>
  </si>
  <si>
    <t xml:space="preserve">C108</t>
  </si>
  <si>
    <t xml:space="preserve">C109</t>
  </si>
  <si>
    <t xml:space="preserve">C110</t>
  </si>
  <si>
    <t xml:space="preserve">Hello, my prices look delayed by a few minutes compared with my other screen</t>
  </si>
  <si>
    <t xml:space="preserve">C111</t>
  </si>
  <si>
    <t xml:space="preserve">C112</t>
  </si>
  <si>
    <t xml:space="preserve">Hello, my 2fa code is not working on a new phone</t>
  </si>
  <si>
    <t xml:space="preserve">C113</t>
  </si>
  <si>
    <t xml:space="preserve">Hey there, what is the account status of my passed accounts?</t>
  </si>
  <si>
    <t xml:space="preserve">C114</t>
  </si>
  <si>
    <t xml:space="preserve">Hello, when will my payout arrive? it has been pending for days</t>
  </si>
  <si>
    <t xml:space="preserve">C115</t>
  </si>
  <si>
    <t xml:space="preserve">C116</t>
  </si>
  <si>
    <t xml:space="preserve">C117</t>
  </si>
  <si>
    <t xml:space="preserve">Hello, i want to connect the platform to my data feed</t>
  </si>
  <si>
    <t xml:space="preserve">C118</t>
  </si>
  <si>
    <t xml:space="preserve">Hi, where can i enable market data in the platform settings?</t>
  </si>
  <si>
    <t xml:space="preserve">C119</t>
  </si>
  <si>
    <t xml:space="preserve">Hello, what time zone does support use?</t>
  </si>
  <si>
    <t xml:space="preserve">C120</t>
  </si>
  <si>
    <t xml:space="preserve">Why was my account closed? i did not see any warning</t>
  </si>
  <si>
    <t xml:space="preserve">C121</t>
  </si>
  <si>
    <t xml:space="preserve">Hi, i have no data on the chart for the main index contract</t>
  </si>
  <si>
    <t xml:space="preserve">C122</t>
  </si>
  <si>
    <t xml:space="preserve">One of my accounts is on hold, why?</t>
  </si>
  <si>
    <t xml:space="preserve">C123</t>
  </si>
  <si>
    <t xml:space="preserve">C124</t>
  </si>
  <si>
    <t xml:space="preserve">Hi, which account is currently active? i have several</t>
  </si>
  <si>
    <t xml:space="preserve">C125</t>
  </si>
  <si>
    <t xml:space="preserve">Good evening, was the daily loss limit hit by open trades or closed trades?</t>
  </si>
  <si>
    <t xml:space="preserve">C126</t>
  </si>
  <si>
    <t xml:space="preserve">Good evening, the reset password link has expired</t>
  </si>
  <si>
    <t xml:space="preserve">C127</t>
  </si>
  <si>
    <t xml:space="preserve">Hey there, blank chart again today, same problem as last week</t>
  </si>
  <si>
    <t xml:space="preserve">C128</t>
  </si>
  <si>
    <t xml:space="preserve">C129</t>
  </si>
  <si>
    <t xml:space="preserve">Hey there, market data stopped working after the update. also, how long does the payout review take?</t>
  </si>
  <si>
    <t xml:space="preserve">C130</t>
  </si>
  <si>
    <t xml:space="preserve">Hi, can you check which account is on hold for me?</t>
  </si>
  <si>
    <t xml:space="preserve">C131</t>
  </si>
  <si>
    <t xml:space="preserve">Good evening, i have no data on the chart for the main index contract</t>
  </si>
  <si>
    <t xml:space="preserve">C132</t>
  </si>
  <si>
    <t xml:space="preserve">C133</t>
  </si>
  <si>
    <t xml:space="preserve">Good evening, how do i change the chart template?</t>
  </si>
  <si>
    <t xml:space="preserve">C134</t>
  </si>
  <si>
    <t xml:space="preserve">Hi, is my payout approved yet?</t>
  </si>
  <si>
    <t xml:space="preserve">C135</t>
  </si>
  <si>
    <t xml:space="preserve">Hey there, i have no data on the chart for the main index contract</t>
  </si>
  <si>
    <t xml:space="preserve">C136</t>
  </si>
  <si>
    <t xml:space="preserve">C137</t>
  </si>
  <si>
    <t xml:space="preserve">C138</t>
  </si>
  <si>
    <t xml:space="preserve">Good evening, hello, anyone there?</t>
  </si>
  <si>
    <t xml:space="preserve">C139</t>
  </si>
  <si>
    <t xml:space="preserve">Hi, how long until the withdrawal reaches my bank?</t>
  </si>
  <si>
    <t xml:space="preserve">C140</t>
  </si>
  <si>
    <t xml:space="preserve">C141</t>
  </si>
  <si>
    <t xml:space="preserve">Hello, there are no prices on my screen, is the platform down?</t>
  </si>
  <si>
    <t xml:space="preserve">C142</t>
  </si>
  <si>
    <t xml:space="preserve">Hey there, can i connect my account to a second platform?</t>
  </si>
  <si>
    <t xml:space="preserve">C143</t>
  </si>
  <si>
    <t xml:space="preserve">Hey there, how is the drawdown calculated on my account?</t>
  </si>
  <si>
    <t xml:space="preserve">C144</t>
  </si>
  <si>
    <t xml:space="preserve">Hello, my 2fa app is locked after i changed my phone</t>
  </si>
  <si>
    <t xml:space="preserve">C145</t>
  </si>
  <si>
    <t xml:space="preserve">Hello, my withdrawal request is still waiting</t>
  </si>
  <si>
    <t xml:space="preserve">C146</t>
  </si>
  <si>
    <t xml:space="preserve">I have no data on the chart for the main index contract</t>
  </si>
  <si>
    <t xml:space="preserve">C147</t>
  </si>
  <si>
    <t xml:space="preserve">C148</t>
  </si>
  <si>
    <t xml:space="preserve">C149</t>
  </si>
  <si>
    <t xml:space="preserve">I got a rule violation notice, what did i do wrong?</t>
  </si>
  <si>
    <t xml:space="preserve">C150</t>
  </si>
  <si>
    <t xml:space="preserve">Hello, i lost one of my active accounts, which one is next?</t>
  </si>
  <si>
    <t xml:space="preserve">C151</t>
  </si>
  <si>
    <t xml:space="preserve">C152</t>
  </si>
  <si>
    <t xml:space="preserve">C153</t>
  </si>
  <si>
    <t xml:space="preserve">Good evening, how long until the withdrawal reaches my bank?</t>
  </si>
  <si>
    <t xml:space="preserve">Keyword analysis: which themes cost clients and the team the most (fictional data)</t>
  </si>
  <si>
    <t xml:space="preserve">Total chats</t>
  </si>
  <si>
    <t xml:space="preserve">Theme</t>
  </si>
  <si>
    <t xml:space="preserve">Chats mentioning</t>
  </si>
  <si>
    <t xml:space="preserve">Share of chats</t>
  </si>
  <si>
    <t xml:space="preserve">Avg handle time (min)</t>
  </si>
  <si>
    <t xml:space="preserve">Total handling (hours)</t>
  </si>
  <si>
    <t xml:space="preserve">Avg CSAT</t>
  </si>
  <si>
    <t xml:space="preserve">Repeat-contact rate</t>
  </si>
  <si>
    <t xml:space="preserve">Pain score</t>
  </si>
  <si>
    <t xml:space="preserve">Rank</t>
  </si>
  <si>
    <t xml:space="preserve">Other (no keyword matched)</t>
  </si>
  <si>
    <t xml:space="preserve">Pain score = total handling hours x (1 + repeat-contact rate) x (5 - average CSAT). It is a simple ranking aid, not a measured cost. A chat can match more than one theme, so shares add to more than 100%.</t>
  </si>
  <si>
    <t xml:space="preserve">Chats with no theme matched are checked by hand each week; new phrases are added to the Keywords sheet.</t>
  </si>
  <si>
    <t xml:space="preserve">Chats mentioning each theme, by week (fictional data)</t>
  </si>
  <si>
    <t xml:space="preserve">Weeks 1-4 average</t>
  </si>
  <si>
    <t xml:space="preserve">Weeks 5-7 average</t>
  </si>
  <si>
    <t xml:space="preserve">Change (x)</t>
  </si>
  <si>
    <t xml:space="preserve">Alert (rise over 1.5x)</t>
  </si>
  <si>
    <t xml:space="preserve">Story in the data: market-data chats jump in weeks 5-7, which is when the fictional platform update happens. This is the kind of early signal the BI team would not see in a monthly report.</t>
  </si>
  <si>
    <t xml:space="preserve">From keywords to product decisions (fictional). Yellow cells are assumptions to agree with Product.</t>
  </si>
  <si>
    <t xml:space="preserve">Evidence (live)</t>
  </si>
  <si>
    <t xml:space="preserve">Proposed product change</t>
  </si>
  <si>
    <t xml:space="preserve">Assumed reduction in chats</t>
  </si>
  <si>
    <t xml:space="preserve">Chats avoided per week</t>
  </si>
  <si>
    <t xml:space="preserve">Metric to track</t>
  </si>
  <si>
    <t xml:space="preserve">In-app banner that shows data-feed status and a one-click 'activate market data' guide</t>
  </si>
  <si>
    <t xml:space="preserve">Market-data chats per week</t>
  </si>
  <si>
    <t xml:space="preserve">Account status page that lists every account, its state and the reason</t>
  </si>
  <si>
    <t xml:space="preserve">Account-status chats per week</t>
  </si>
  <si>
    <t xml:space="preserve">Plain-words explanation of the rule hit, with the balance and drawdown numbers, shown at the moment of the event</t>
  </si>
  <si>
    <t xml:space="preserve">Repeat-contact rate on this theme</t>
  </si>
  <si>
    <t xml:space="preserve">Payout tracker with stages and an expected date</t>
  </si>
  <si>
    <t xml:space="preserve">Payout chats per week; CSAT</t>
  </si>
  <si>
    <t xml:space="preserve">Clearer verification messages and an in-flow re-send option</t>
  </si>
  <si>
    <t xml:space="preserve">Sign-in chats per week</t>
  </si>
  <si>
    <t xml:space="preserve">Setup checklist inside the onboarding flow</t>
  </si>
  <si>
    <t xml:space="preserve">Setup chats from new clients</t>
  </si>
  <si>
    <t xml:space="preserve">Total</t>
  </si>
  <si>
    <t xml:space="preserve">Chats avoided = chats in the sample / 8 weeks x assumed reduction. Assumed reductions are planning guesses, not forecasts; they would be replaced by a pilot result.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</si>
</sst>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"/>
    <numFmt numFmtId="167" formatCode="#,##0"/>
    <numFmt numFmtId="168" formatCode="0.00%"/>
    <numFmt numFmtId="169" formatCode="General"/>
    <numFmt numFmtId="170" formatCode="0%"/>
    <numFmt numFmtId="171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C6A6A"/>
        <bgColor rgb="FF00808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C6A6A"/>
      <rgbColor rgb="FFC0C0C0"/>
      <rgbColor rgb="FF878787"/>
      <rgbColor rgb="FF9B5DE5"/>
      <rgbColor rgb="FFC94F6D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9822B"/>
      <rgbColor rgb="FFFF6600"/>
      <rgbColor rgb="FF5B6C8F"/>
      <rgbColor rgb="FF8A8F98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Asking price per sq ft and rental yield by area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Prices!B1</c:f>
              <c:strCache>
                <c:ptCount val="1"/>
                <c:pt idx="0">
                  <c:v>Avg asking price (Tk per sq ft)</c:v>
                </c:pt>
              </c:strCache>
            </c:strRef>
          </c:tx>
          <c:spPr>
            <a:solidFill>
              <a:srgbClr val="0c6a6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Prices!$A$2:$A$7</c:f>
              <c:strCache>
                <c:ptCount val="6"/>
                <c:pt idx="0">
                  <c:v>Gulshan</c:v>
                </c:pt>
                <c:pt idx="1">
                  <c:v>Banani</c:v>
                </c:pt>
                <c:pt idx="2">
                  <c:v>Dhanmondi</c:v>
                </c:pt>
                <c:pt idx="3">
                  <c:v>Bashundhara</c:v>
                </c:pt>
                <c:pt idx="4">
                  <c:v>Uttara</c:v>
                </c:pt>
                <c:pt idx="5">
                  <c:v>Mirpur</c:v>
                </c:pt>
              </c:strCache>
            </c:strRef>
          </c:cat>
          <c:val>
            <c:numRef>
              <c:f>Prices!$B$2:$B$7</c:f>
              <c:numCache>
                <c:formatCode>#,##0</c:formatCode>
                <c:ptCount val="6"/>
                <c:pt idx="0">
                  <c:v>13978</c:v>
                </c:pt>
                <c:pt idx="1">
                  <c:v>13684</c:v>
                </c:pt>
                <c:pt idx="2">
                  <c:v>12289</c:v>
                </c:pt>
                <c:pt idx="3">
                  <c:v>9894</c:v>
                </c:pt>
                <c:pt idx="4">
                  <c:v>8925</c:v>
                </c:pt>
                <c:pt idx="5">
                  <c:v>6431</c:v>
                </c:pt>
              </c:numCache>
            </c:numRef>
          </c:val>
        </c:ser>
        <c:gapWidth val="150"/>
        <c:overlap val="0"/>
        <c:axId val="91913920"/>
        <c:axId val="86225189"/>
      </c:barChart>
      <c:lineChart>
        <c:grouping val="standard"/>
        <c:varyColors val="0"/>
        <c:ser>
          <c:idx val="1"/>
          <c:order val="1"/>
          <c:tx>
            <c:strRef>
              <c:f>Prices!C1</c:f>
              <c:strCache>
                <c:ptCount val="1"/>
                <c:pt idx="0">
                  <c:v>Gross rental yield (%)</c:v>
                </c:pt>
              </c:strCache>
            </c:strRef>
          </c:tx>
          <c:spPr>
            <a:solidFill>
              <a:srgbClr val="d9822b"/>
            </a:solidFill>
            <a:ln w="28440">
              <a:solidFill>
                <a:srgbClr val="d9822b"/>
              </a:solidFill>
              <a:round/>
            </a:ln>
          </c:spPr>
          <c:marker>
            <c:symbol val="circle"/>
            <c:size val="5"/>
            <c:spPr>
              <a:solidFill>
                <a:srgbClr val="d9822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Prices!$A$2:$A$7</c:f>
              <c:strCache>
                <c:ptCount val="6"/>
                <c:pt idx="0">
                  <c:v>Gulshan</c:v>
                </c:pt>
                <c:pt idx="1">
                  <c:v>Banani</c:v>
                </c:pt>
                <c:pt idx="2">
                  <c:v>Dhanmondi</c:v>
                </c:pt>
                <c:pt idx="3">
                  <c:v>Bashundhara</c:v>
                </c:pt>
                <c:pt idx="4">
                  <c:v>Uttara</c:v>
                </c:pt>
                <c:pt idx="5">
                  <c:v>Mirpur</c:v>
                </c:pt>
              </c:strCache>
            </c:strRef>
          </c:cat>
          <c:val>
            <c:numRef>
              <c:f>Prices!$C$2:$C$7</c:f>
              <c:numCache>
                <c:formatCode>General</c:formatCode>
                <c:ptCount val="6"/>
                <c:pt idx="0">
                  <c:v>4.7</c:v>
                </c:pt>
                <c:pt idx="1">
                  <c:v>3.8</c:v>
                </c:pt>
                <c:pt idx="2">
                  <c:v>2.7</c:v>
                </c:pt>
                <c:pt idx="3">
                  <c:v>3.25</c:v>
                </c:pt>
                <c:pt idx="4">
                  <c:v>3.25</c:v>
                </c:pt>
                <c:pt idx="5">
                  <c:v>4.5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5334888"/>
        <c:axId val="40282352"/>
      </c:lineChart>
      <c:catAx>
        <c:axId val="9191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225189"/>
        <c:crosses val="autoZero"/>
        <c:auto val="1"/>
        <c:lblAlgn val="ctr"/>
        <c:lblOffset val="100"/>
        <c:noMultiLvlLbl val="0"/>
      </c:catAx>
      <c:valAx>
        <c:axId val="862251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Tk per sq ft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913920"/>
        <c:crosses val="autoZero"/>
        <c:crossBetween val="between"/>
      </c:valAx>
      <c:catAx>
        <c:axId val="25334888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282352"/>
        <c:crosses val="autoZero"/>
        <c:auto val="1"/>
        <c:lblAlgn val="ctr"/>
        <c:lblOffset val="100"/>
        <c:noMultiLvlLbl val="0"/>
      </c:catAx>
      <c:valAx>
        <c:axId val="40282352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Yield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33488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Apartment deeds per half-year (2023 to H1 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Registrations!F1</c:f>
              <c:strCache>
                <c:ptCount val="1"/>
                <c:pt idx="0">
                  <c:v>Deeds per half-year (for fair chart)</c:v>
                </c:pt>
              </c:strCache>
            </c:strRef>
          </c:tx>
          <c:spPr>
            <a:solidFill>
              <a:srgbClr val="0c6a6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Registrations!$A$2:$A$5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H1 2026 (Jan-Jun)</c:v>
                </c:pt>
              </c:strCache>
            </c:strRef>
          </c:cat>
          <c:val>
            <c:numRef>
              <c:f>Registrations!$F$2:$F$5</c:f>
              <c:numCache>
                <c:formatCode>#,##0</c:formatCode>
                <c:ptCount val="4"/>
                <c:pt idx="0">
                  <c:v>73000</c:v>
                </c:pt>
                <c:pt idx="1">
                  <c:v>56000</c:v>
                </c:pt>
                <c:pt idx="2">
                  <c:v>52000</c:v>
                </c:pt>
                <c:pt idx="3">
                  <c:v>41804</c:v>
                </c:pt>
              </c:numCache>
            </c:numRef>
          </c:val>
        </c:ser>
        <c:gapWidth val="150"/>
        <c:overlap val="0"/>
        <c:axId val="80541295"/>
        <c:axId val="5481666"/>
      </c:barChart>
      <c:catAx>
        <c:axId val="8054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81666"/>
        <c:crosses val="autoZero"/>
        <c:auto val="1"/>
        <c:lblAlgn val="ctr"/>
        <c:lblOffset val="100"/>
        <c:noMultiLvlLbl val="0"/>
      </c:catAx>
      <c:valAx>
        <c:axId val="54816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Deeds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5412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income needed vs average urban household income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Affordability!F9</c:f>
              <c:strCache>
                <c:ptCount val="1"/>
                <c:pt idx="0">
                  <c:v>Income needed per month (Tk)</c:v>
                </c:pt>
              </c:strCache>
            </c:strRef>
          </c:tx>
          <c:spPr>
            <a:solidFill>
              <a:srgbClr val="0c6a6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Affordability!$A$10:$A$15</c:f>
              <c:strCache>
                <c:ptCount val="6"/>
                <c:pt idx="0">
                  <c:v>Gulshan</c:v>
                </c:pt>
                <c:pt idx="1">
                  <c:v>Banani</c:v>
                </c:pt>
                <c:pt idx="2">
                  <c:v>Dhanmondi</c:v>
                </c:pt>
                <c:pt idx="3">
                  <c:v>Bashundhara</c:v>
                </c:pt>
                <c:pt idx="4">
                  <c:v>Uttara</c:v>
                </c:pt>
                <c:pt idx="5">
                  <c:v>Mirpur</c:v>
                </c:pt>
              </c:strCache>
            </c:strRef>
          </c:cat>
          <c:val>
            <c:numRef>
              <c:f>Affordability!$F$10:$F$15</c:f>
              <c:numCache>
                <c:formatCode>#,##0</c:formatCode>
                <c:ptCount val="6"/>
                <c:pt idx="0">
                  <c:v>215473.747650504</c:v>
                </c:pt>
                <c:pt idx="1">
                  <c:v>210941.677124732</c:v>
                </c:pt>
                <c:pt idx="2">
                  <c:v>189437.464936117</c:v>
                </c:pt>
                <c:pt idx="3">
                  <c:v>152518.046877528</c:v>
                </c:pt>
                <c:pt idx="4">
                  <c:v>137580.712389523</c:v>
                </c:pt>
                <c:pt idx="5">
                  <c:v>99135.1889498063</c:v>
                </c:pt>
              </c:numCache>
            </c:numRef>
          </c:val>
        </c:ser>
        <c:gapWidth val="150"/>
        <c:overlap val="0"/>
        <c:axId val="87563521"/>
        <c:axId val="74519854"/>
      </c:barChart>
      <c:lineChart>
        <c:grouping val="standard"/>
        <c:varyColors val="0"/>
        <c:ser>
          <c:idx val="1"/>
          <c:order val="1"/>
          <c:tx>
            <c:strRef>
              <c:f>Affordability!H9</c:f>
              <c:strCache>
                <c:ptCount val="1"/>
                <c:pt idx="0">
                  <c:v>Avg urban household income (reference)</c:v>
                </c:pt>
              </c:strCache>
            </c:strRef>
          </c:tx>
          <c:spPr>
            <a:solidFill>
              <a:srgbClr val="d9822b"/>
            </a:solidFill>
            <a:ln w="28440">
              <a:solidFill>
                <a:srgbClr val="d9822b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Affordability!$A$10:$A$15</c:f>
              <c:strCache>
                <c:ptCount val="6"/>
                <c:pt idx="0">
                  <c:v>Gulshan</c:v>
                </c:pt>
                <c:pt idx="1">
                  <c:v>Banani</c:v>
                </c:pt>
                <c:pt idx="2">
                  <c:v>Dhanmondi</c:v>
                </c:pt>
                <c:pt idx="3">
                  <c:v>Bashundhara</c:v>
                </c:pt>
                <c:pt idx="4">
                  <c:v>Uttara</c:v>
                </c:pt>
                <c:pt idx="5">
                  <c:v>Mirpur</c:v>
                </c:pt>
              </c:strCache>
            </c:strRef>
          </c:cat>
          <c:val>
            <c:numRef>
              <c:f>Affordability!$H$10:$H$15</c:f>
              <c:numCache>
                <c:formatCode>#,##0</c:formatCode>
                <c:ptCount val="6"/>
                <c:pt idx="0">
                  <c:v>45757</c:v>
                </c:pt>
                <c:pt idx="1">
                  <c:v>45757</c:v>
                </c:pt>
                <c:pt idx="2">
                  <c:v>45757</c:v>
                </c:pt>
                <c:pt idx="3">
                  <c:v>45757</c:v>
                </c:pt>
                <c:pt idx="4">
                  <c:v>45757</c:v>
                </c:pt>
                <c:pt idx="5">
                  <c:v>45757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7563521"/>
        <c:axId val="74519854"/>
      </c:lineChart>
      <c:catAx>
        <c:axId val="875635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519854"/>
        <c:crosses val="autoZero"/>
        <c:auto val="1"/>
        <c:lblAlgn val="ctr"/>
        <c:lblOffset val="100"/>
        <c:noMultiLvlLbl val="0"/>
      </c:catAx>
      <c:valAx>
        <c:axId val="745198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Tk per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56352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Hours saved per week by checks per week (scenario)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Automation_Scenarios!C7</c:f>
              <c:strCache>
                <c:ptCount val="1"/>
                <c:pt idx="0">
                  <c:v>Hours saved per week</c:v>
                </c:pt>
              </c:strCache>
            </c:strRef>
          </c:tx>
          <c:spPr>
            <a:solidFill>
              <a:srgbClr val="0c6a6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Automation_Scenarios!$A$8:$A$11</c:f>
              <c:strCache>
                <c:ptCount val="4"/>
                <c:pt idx="0">
                  <c:v>10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</c:strCache>
            </c:strRef>
          </c:cat>
          <c:val>
            <c:numRef>
              <c:f>Automation_Scenarios!$C$8:$C$11</c:f>
              <c:numCache>
                <c:formatCode>0.0</c:formatCode>
                <c:ptCount val="4"/>
                <c:pt idx="0">
                  <c:v>1.83333333333333</c:v>
                </c:pt>
                <c:pt idx="1">
                  <c:v>4.58333333333333</c:v>
                </c:pt>
                <c:pt idx="2">
                  <c:v>9.16666666666667</c:v>
                </c:pt>
                <c:pt idx="3">
                  <c:v>18.3333333333333</c:v>
                </c:pt>
              </c:numCache>
            </c:numRef>
          </c:val>
        </c:ser>
        <c:gapWidth val="150"/>
        <c:overlap val="0"/>
        <c:axId val="34100314"/>
        <c:axId val="75456387"/>
      </c:barChart>
      <c:catAx>
        <c:axId val="341003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456387"/>
        <c:crosses val="autoZero"/>
        <c:auto val="1"/>
        <c:lblAlgn val="ctr"/>
        <c:lblOffset val="100"/>
        <c:noMultiLvlLbl val="0"/>
      </c:catAx>
      <c:valAx>
        <c:axId val="754563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 per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1003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Chats mentioning each theme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Keyword_Analysis!B4</c:f>
              <c:strCache>
                <c:ptCount val="1"/>
                <c:pt idx="0">
                  <c:v>Chats mentioning</c:v>
                </c:pt>
              </c:strCache>
            </c:strRef>
          </c:tx>
          <c:spPr>
            <a:solidFill>
              <a:srgbClr val="0c6a6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Keyword_Analysis!$A$5:$A$10</c:f>
              <c:strCache>
                <c:ptCount val="6"/>
                <c:pt idx="0">
                  <c:v>Market data</c:v>
                </c:pt>
                <c:pt idx="1">
                  <c:v>Account status</c:v>
                </c:pt>
                <c:pt idx="2">
                  <c:v>Closure or limit reason</c:v>
                </c:pt>
                <c:pt idx="3">
                  <c:v>Payout or review</c:v>
                </c:pt>
                <c:pt idx="4">
                  <c:v>Sign-in or verification</c:v>
                </c:pt>
                <c:pt idx="5">
                  <c:v>Platform setup</c:v>
                </c:pt>
              </c:strCache>
            </c:strRef>
          </c:cat>
          <c:val>
            <c:numRef>
              <c:f>Keyword_Analysis!$B$5:$B$10</c:f>
              <c:numCache>
                <c:formatCode>General</c:formatCode>
                <c:ptCount val="6"/>
                <c:pt idx="0">
                  <c:v>44</c:v>
                </c:pt>
                <c:pt idx="1">
                  <c:v>26</c:v>
                </c:pt>
                <c:pt idx="2">
                  <c:v>23</c:v>
                </c:pt>
                <c:pt idx="3">
                  <c:v>23</c:v>
                </c:pt>
                <c:pt idx="4">
                  <c:v>13</c:v>
                </c:pt>
                <c:pt idx="5">
                  <c:v>15</c:v>
                </c:pt>
              </c:numCache>
            </c:numRef>
          </c:val>
        </c:ser>
        <c:gapWidth val="150"/>
        <c:overlap val="0"/>
        <c:axId val="87052485"/>
        <c:axId val="29583608"/>
      </c:barChart>
      <c:catAx>
        <c:axId val="870524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583608"/>
        <c:crosses val="autoZero"/>
        <c:auto val="1"/>
        <c:lblAlgn val="ctr"/>
        <c:lblOffset val="100"/>
        <c:noMultiLvlLbl val="0"/>
      </c:catAx>
      <c:valAx>
        <c:axId val="295836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0524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Pain score by theme (higher = fix first)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Keyword_Analysis!H4</c:f>
              <c:strCache>
                <c:ptCount val="1"/>
                <c:pt idx="0">
                  <c:v>Pain score</c:v>
                </c:pt>
              </c:strCache>
            </c:strRef>
          </c:tx>
          <c:spPr>
            <a:solidFill>
              <a:srgbClr val="d9822b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Keyword_Analysis!$A$5:$A$10</c:f>
              <c:strCache>
                <c:ptCount val="6"/>
                <c:pt idx="0">
                  <c:v>Market data</c:v>
                </c:pt>
                <c:pt idx="1">
                  <c:v>Account status</c:v>
                </c:pt>
                <c:pt idx="2">
                  <c:v>Closure or limit reason</c:v>
                </c:pt>
                <c:pt idx="3">
                  <c:v>Payout or review</c:v>
                </c:pt>
                <c:pt idx="4">
                  <c:v>Sign-in or verification</c:v>
                </c:pt>
                <c:pt idx="5">
                  <c:v>Platform setup</c:v>
                </c:pt>
              </c:strCache>
            </c:strRef>
          </c:cat>
          <c:val>
            <c:numRef>
              <c:f>Keyword_Analysis!$H$5:$H$10</c:f>
              <c:numCache>
                <c:formatCode>0.0</c:formatCode>
                <c:ptCount val="6"/>
                <c:pt idx="0">
                  <c:v>17.274879476584</c:v>
                </c:pt>
                <c:pt idx="1">
                  <c:v>5.84299802761341</c:v>
                </c:pt>
                <c:pt idx="2">
                  <c:v>23.5207939508507</c:v>
                </c:pt>
                <c:pt idx="3">
                  <c:v>8.0010081915564</c:v>
                </c:pt>
                <c:pt idx="4">
                  <c:v>2.1301775147929</c:v>
                </c:pt>
                <c:pt idx="5">
                  <c:v>2.58266666666667</c:v>
                </c:pt>
              </c:numCache>
            </c:numRef>
          </c:val>
        </c:ser>
        <c:gapWidth val="150"/>
        <c:overlap val="0"/>
        <c:axId val="71225739"/>
        <c:axId val="1724178"/>
      </c:barChart>
      <c:catAx>
        <c:axId val="712257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24178"/>
        <c:crosses val="autoZero"/>
        <c:auto val="1"/>
        <c:lblAlgn val="ctr"/>
        <c:lblOffset val="100"/>
        <c:noMultiLvlLbl val="0"/>
      </c:catAx>
      <c:valAx>
        <c:axId val="17241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2257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chats by theme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Weekly_Trend!B2</c:f>
              <c:strCache>
                <c:ptCount val="1"/>
                <c:pt idx="0">
                  <c:v>Market data</c:v>
                </c:pt>
              </c:strCache>
            </c:strRef>
          </c:tx>
          <c:spPr>
            <a:solidFill>
              <a:srgbClr val="d9822b"/>
            </a:solidFill>
            <a:ln w="21960">
              <a:solidFill>
                <a:srgbClr val="d9822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Weekly_Trend!$A$3:$A$10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Weekly_Trend!$B$3:$B$10</c:f>
              <c:numCache>
                <c:formatCode>General</c:formatCode>
                <c:ptCount val="8"/>
                <c:pt idx="0">
                  <c:v>3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9</c:v>
                </c:pt>
                <c:pt idx="5">
                  <c:v>10</c:v>
                </c:pt>
                <c:pt idx="6">
                  <c:v>7</c:v>
                </c:pt>
                <c:pt idx="7">
                  <c:v>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Weekly_Trend!C2</c:f>
              <c:strCache>
                <c:ptCount val="1"/>
                <c:pt idx="0">
                  <c:v>Account status</c:v>
                </c:pt>
              </c:strCache>
            </c:strRef>
          </c:tx>
          <c:spPr>
            <a:solidFill>
              <a:srgbClr val="0c6a6a"/>
            </a:solidFill>
            <a:ln w="21960">
              <a:solidFill>
                <a:srgbClr val="0c6a6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Weekly_Trend!$A$3:$A$10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Weekly_Trend!$C$3:$C$10</c:f>
              <c:numCache>
                <c:formatCode>General</c:formatCode>
                <c:ptCount val="8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Weekly_Trend!D2</c:f>
              <c:strCache>
                <c:ptCount val="1"/>
                <c:pt idx="0">
                  <c:v>Closure or limit reason</c:v>
                </c:pt>
              </c:strCache>
            </c:strRef>
          </c:tx>
          <c:spPr>
            <a:solidFill>
              <a:srgbClr val="5b6c8f"/>
            </a:solidFill>
            <a:ln w="21960">
              <a:solidFill>
                <a:srgbClr val="5b6c8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Weekly_Trend!$A$3:$A$10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Weekly_Trend!$D$3:$D$10</c:f>
              <c:numCache>
                <c:formatCode>General</c:formatCode>
                <c:ptCount val="8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Weekly_Trend!E2</c:f>
              <c:strCache>
                <c:ptCount val="1"/>
                <c:pt idx="0">
                  <c:v>Payout or review</c:v>
                </c:pt>
              </c:strCache>
            </c:strRef>
          </c:tx>
          <c:spPr>
            <a:solidFill>
              <a:srgbClr val="9b5de5"/>
            </a:solidFill>
            <a:ln w="21960">
              <a:solidFill>
                <a:srgbClr val="9b5de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Weekly_Trend!$A$3:$A$10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Weekly_Trend!$E$3:$E$10</c:f>
              <c:numCache>
                <c:formatCode>General</c:formatCode>
                <c:ptCount val="8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Weekly_Trend!F2</c:f>
              <c:strCache>
                <c:ptCount val="1"/>
                <c:pt idx="0">
                  <c:v>Sign-in or verification</c:v>
                </c:pt>
              </c:strCache>
            </c:strRef>
          </c:tx>
          <c:spPr>
            <a:solidFill>
              <a:srgbClr val="8a8f98"/>
            </a:solidFill>
            <a:ln w="21960">
              <a:solidFill>
                <a:srgbClr val="8a8f9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Weekly_Trend!$A$3:$A$10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Weekly_Trend!$F$3:$F$10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Weekly_Trend!G2</c:f>
              <c:strCache>
                <c:ptCount val="1"/>
                <c:pt idx="0">
                  <c:v>Platform setup</c:v>
                </c:pt>
              </c:strCache>
            </c:strRef>
          </c:tx>
          <c:spPr>
            <a:solidFill>
              <a:srgbClr val="c94f6d"/>
            </a:solidFill>
            <a:ln w="21960">
              <a:solidFill>
                <a:srgbClr val="c94f6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Weekly_Trend!$A$3:$A$10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Weekly_Trend!$G$3:$G$10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8342498"/>
        <c:axId val="49386977"/>
      </c:lineChart>
      <c:catAx>
        <c:axId val="983424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386977"/>
        <c:crosses val="autoZero"/>
        <c:auto val="1"/>
        <c:lblAlgn val="ctr"/>
        <c:lblOffset val="100"/>
        <c:noMultiLvlLbl val="0"/>
      </c:catAx>
      <c:valAx>
        <c:axId val="493869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Chats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34249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Estimated hours saved per week by product change (assumption-based)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Product_Roadmap!F3</c:f>
              <c:strCache>
                <c:ptCount val="1"/>
                <c:pt idx="0">
                  <c:v>Hours saved per week</c:v>
                </c:pt>
              </c:strCache>
            </c:strRef>
          </c:tx>
          <c:spPr>
            <a:solidFill>
              <a:srgbClr val="0c6a6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Product_Roadmap!$A$4:$A$9</c:f>
              <c:strCache>
                <c:ptCount val="6"/>
                <c:pt idx="0">
                  <c:v>Market data</c:v>
                </c:pt>
                <c:pt idx="1">
                  <c:v>Account status</c:v>
                </c:pt>
                <c:pt idx="2">
                  <c:v>Closure or limit reason</c:v>
                </c:pt>
                <c:pt idx="3">
                  <c:v>Payout or review</c:v>
                </c:pt>
                <c:pt idx="4">
                  <c:v>Sign-in or verification</c:v>
                </c:pt>
                <c:pt idx="5">
                  <c:v>Platform setup</c:v>
                </c:pt>
              </c:strCache>
            </c:strRef>
          </c:cat>
          <c:val>
            <c:numRef>
              <c:f>Product_Roadmap!$F$4:$F$9</c:f>
              <c:numCache>
                <c:formatCode>0.0</c:formatCode>
                <c:ptCount val="6"/>
                <c:pt idx="0">
                  <c:v>0.499166666666667</c:v>
                </c:pt>
                <c:pt idx="1">
                  <c:v>0.234791666666667</c:v>
                </c:pt>
                <c:pt idx="2">
                  <c:v>0.288020833333333</c:v>
                </c:pt>
                <c:pt idx="3">
                  <c:v>0.16</c:v>
                </c:pt>
                <c:pt idx="4">
                  <c:v>0.05</c:v>
                </c:pt>
                <c:pt idx="5">
                  <c:v>0.0776041666666667</c:v>
                </c:pt>
              </c:numCache>
            </c:numRef>
          </c:val>
        </c:ser>
        <c:gapWidth val="150"/>
        <c:overlap val="0"/>
        <c:axId val="2882624"/>
        <c:axId val="56692173"/>
      </c:barChart>
      <c:catAx>
        <c:axId val="288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692173"/>
        <c:crosses val="autoZero"/>
        <c:auto val="1"/>
        <c:lblAlgn val="ctr"/>
        <c:lblOffset val="100"/>
        <c:noMultiLvlLbl val="0"/>
      </c:catAx>
      <c:valAx>
        <c:axId val="566921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 per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826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20880</xdr:rowOff>
    </xdr:from>
    <xdr:to>
      <xdr:col>3</xdr:col>
      <xdr:colOff>2109600</xdr:colOff>
      <xdr:row>27</xdr:row>
      <xdr:rowOff>22320</xdr:rowOff>
    </xdr:to>
    <xdr:graphicFrame>
      <xdr:nvGraphicFramePr>
        <xdr:cNvPr id="0" name="Chart 1"/>
        <xdr:cNvGraphicFramePr/>
      </xdr:nvGraphicFramePr>
      <xdr:xfrm>
        <a:off x="0" y="20955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21240</xdr:rowOff>
    </xdr:from>
    <xdr:to>
      <xdr:col>3</xdr:col>
      <xdr:colOff>261720</xdr:colOff>
      <xdr:row>30</xdr:row>
      <xdr:rowOff>43200</xdr:rowOff>
    </xdr:to>
    <xdr:graphicFrame>
      <xdr:nvGraphicFramePr>
        <xdr:cNvPr id="1" name="Chart 1"/>
        <xdr:cNvGraphicFramePr/>
      </xdr:nvGraphicFramePr>
      <xdr:xfrm>
        <a:off x="0" y="3048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23</xdr:row>
      <xdr:rowOff>41760</xdr:rowOff>
    </xdr:from>
    <xdr:to>
      <xdr:col>2</xdr:col>
      <xdr:colOff>981720</xdr:colOff>
      <xdr:row>40</xdr:row>
      <xdr:rowOff>42840</xdr:rowOff>
    </xdr:to>
    <xdr:graphicFrame>
      <xdr:nvGraphicFramePr>
        <xdr:cNvPr id="2" name="Chart 1"/>
        <xdr:cNvGraphicFramePr/>
      </xdr:nvGraphicFramePr>
      <xdr:xfrm>
        <a:off x="0" y="4762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20880</xdr:rowOff>
    </xdr:from>
    <xdr:to>
      <xdr:col>2</xdr:col>
      <xdr:colOff>543600</xdr:colOff>
      <xdr:row>28</xdr:row>
      <xdr:rowOff>42840</xdr:rowOff>
    </xdr:to>
    <xdr:graphicFrame>
      <xdr:nvGraphicFramePr>
        <xdr:cNvPr id="3" name="Chart 1"/>
        <xdr:cNvGraphicFramePr/>
      </xdr:nvGraphicFramePr>
      <xdr:xfrm>
        <a:off x="0" y="2666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21240</xdr:rowOff>
    </xdr:from>
    <xdr:to>
      <xdr:col>4</xdr:col>
      <xdr:colOff>261720</xdr:colOff>
      <xdr:row>30</xdr:row>
      <xdr:rowOff>43200</xdr:rowOff>
    </xdr:to>
    <xdr:graphicFrame>
      <xdr:nvGraphicFramePr>
        <xdr:cNvPr id="4" name="Chart 1"/>
        <xdr:cNvGraphicFramePr/>
      </xdr:nvGraphicFramePr>
      <xdr:xfrm>
        <a:off x="0" y="3048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32</xdr:row>
      <xdr:rowOff>21240</xdr:rowOff>
    </xdr:from>
    <xdr:to>
      <xdr:col>4</xdr:col>
      <xdr:colOff>261720</xdr:colOff>
      <xdr:row>47</xdr:row>
      <xdr:rowOff>43200</xdr:rowOff>
    </xdr:to>
    <xdr:graphicFrame>
      <xdr:nvGraphicFramePr>
        <xdr:cNvPr id="5" name="Chart 2"/>
        <xdr:cNvGraphicFramePr/>
      </xdr:nvGraphicFramePr>
      <xdr:xfrm>
        <a:off x="0" y="6286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20880</xdr:rowOff>
    </xdr:from>
    <xdr:to>
      <xdr:col>5</xdr:col>
      <xdr:colOff>291960</xdr:colOff>
      <xdr:row>34</xdr:row>
      <xdr:rowOff>21960</xdr:rowOff>
    </xdr:to>
    <xdr:graphicFrame>
      <xdr:nvGraphicFramePr>
        <xdr:cNvPr id="6" name="Chart 1"/>
        <xdr:cNvGraphicFramePr/>
      </xdr:nvGraphicFramePr>
      <xdr:xfrm>
        <a:off x="0" y="342900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83160</xdr:rowOff>
    </xdr:from>
    <xdr:to>
      <xdr:col>2</xdr:col>
      <xdr:colOff>1263600</xdr:colOff>
      <xdr:row>24</xdr:row>
      <xdr:rowOff>105120</xdr:rowOff>
    </xdr:to>
    <xdr:graphicFrame>
      <xdr:nvGraphicFramePr>
        <xdr:cNvPr id="7" name="Chart 1"/>
        <xdr:cNvGraphicFramePr/>
      </xdr:nvGraphicFramePr>
      <xdr:xfrm>
        <a:off x="0" y="2476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24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8.35" hidden="false" customHeight="false" outlineLevel="0" collapsed="false">
      <c r="A2" s="2" t="n">
        <v>1</v>
      </c>
      <c r="B2" s="2" t="s">
        <v>4</v>
      </c>
      <c r="C2" s="2" t="s">
        <v>5</v>
      </c>
      <c r="D2" s="2" t="s">
        <v>6</v>
      </c>
    </row>
    <row r="3" customFormat="false" ht="28.35" hidden="false" customHeight="false" outlineLevel="0" collapsed="false">
      <c r="A3" s="2" t="n">
        <v>2</v>
      </c>
      <c r="B3" s="2" t="s">
        <v>7</v>
      </c>
      <c r="C3" s="2" t="s">
        <v>8</v>
      </c>
      <c r="D3" s="2" t="s">
        <v>9</v>
      </c>
    </row>
    <row r="4" customFormat="false" ht="15" hidden="false" customHeight="false" outlineLevel="0" collapsed="false">
      <c r="A4" s="2" t="n">
        <v>3</v>
      </c>
      <c r="B4" s="2" t="s">
        <v>10</v>
      </c>
      <c r="C4" s="2" t="s">
        <v>11</v>
      </c>
      <c r="D4" s="2" t="s">
        <v>12</v>
      </c>
    </row>
    <row r="5" customFormat="false" ht="28.35" hidden="false" customHeight="false" outlineLevel="0" collapsed="false">
      <c r="A5" s="2" t="n">
        <v>4</v>
      </c>
      <c r="B5" s="2" t="s">
        <v>13</v>
      </c>
      <c r="C5" s="2" t="s">
        <v>14</v>
      </c>
      <c r="D5" s="2" t="s">
        <v>15</v>
      </c>
    </row>
    <row r="6" customFormat="false" ht="28.35" hidden="false" customHeight="false" outlineLevel="0" collapsed="false">
      <c r="A6" s="2" t="n">
        <v>5</v>
      </c>
      <c r="B6" s="2" t="s">
        <v>16</v>
      </c>
      <c r="C6" s="2" t="s">
        <v>17</v>
      </c>
      <c r="D6" s="2" t="s">
        <v>18</v>
      </c>
    </row>
    <row r="7" customFormat="false" ht="28.35" hidden="false" customHeight="false" outlineLevel="0" collapsed="false">
      <c r="A7" s="2" t="n">
        <v>6</v>
      </c>
      <c r="B7" s="2" t="s">
        <v>19</v>
      </c>
      <c r="C7" s="2" t="s">
        <v>20</v>
      </c>
      <c r="D7" s="2" t="s">
        <v>21</v>
      </c>
    </row>
    <row r="9" customFormat="false" ht="15" hidden="false" customHeight="false" outlineLevel="0" collapsed="false">
      <c r="A9" s="3" t="s">
        <v>22</v>
      </c>
    </row>
    <row r="10" customFormat="false" ht="15" hidden="false" customHeight="false" outlineLevel="0" collapsed="false">
      <c r="A10" s="0" t="s">
        <v>23</v>
      </c>
    </row>
    <row r="11" customFormat="false" ht="15" hidden="false" customHeight="false" outlineLevel="0" collapsed="false">
      <c r="A11" s="0" t="s">
        <v>24</v>
      </c>
    </row>
    <row r="12" customFormat="false" ht="15" hidden="false" customHeight="false" outlineLevel="0" collapsed="false">
      <c r="A12" s="0" t="s">
        <v>25</v>
      </c>
    </row>
    <row r="13" customFormat="false" ht="15" hidden="false" customHeight="false" outlineLevel="0" collapsed="false">
      <c r="A13" s="0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4" min="3" style="0" width="70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3" t="s">
        <v>27</v>
      </c>
    </row>
    <row r="2" customFormat="false" ht="15" hidden="false" customHeight="false" outlineLevel="0" collapsed="false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</row>
    <row r="3" customFormat="false" ht="15" hidden="false" customHeight="false" outlineLevel="0" collapsed="false">
      <c r="A3" s="0" t="s">
        <v>33</v>
      </c>
      <c r="B3" s="0" t="s">
        <v>34</v>
      </c>
      <c r="C3" s="2" t="str">
        <f aca="false">_xlfn.FORMULATEXT(Prices!E2)</f>
        <v>=B2/$B$7</v>
      </c>
      <c r="D3" s="2" t="s">
        <v>35</v>
      </c>
      <c r="E3" s="4" t="n">
        <f aca="false">Prices!E2</f>
        <v>2.17353444254393</v>
      </c>
    </row>
    <row r="4" customFormat="false" ht="15" hidden="false" customHeight="false" outlineLevel="0" collapsed="false">
      <c r="A4" s="0" t="s">
        <v>36</v>
      </c>
      <c r="B4" s="0" t="s">
        <v>37</v>
      </c>
      <c r="C4" s="2" t="str">
        <f aca="false">_xlfn.FORMULATEXT(Registrations!D2)</f>
        <v>=C2*100/B2</v>
      </c>
      <c r="D4" s="2" t="s">
        <v>38</v>
      </c>
      <c r="E4" s="5" t="n">
        <f aca="false">Registrations!D2</f>
        <v>68.4931506849315</v>
      </c>
    </row>
    <row r="5" customFormat="false" ht="15" hidden="false" customHeight="false" outlineLevel="0" collapsed="false">
      <c r="A5" s="0" t="s">
        <v>36</v>
      </c>
      <c r="B5" s="0" t="s">
        <v>39</v>
      </c>
      <c r="C5" s="2" t="str">
        <f aca="false">_xlfn.FORMULATEXT(Registrations!F2)</f>
        <v>=B2/2</v>
      </c>
      <c r="D5" s="2" t="s">
        <v>40</v>
      </c>
      <c r="E5" s="6" t="n">
        <f aca="false">Registrations!F2</f>
        <v>73000</v>
      </c>
    </row>
    <row r="6" customFormat="false" ht="15" hidden="false" customHeight="false" outlineLevel="0" collapsed="false">
      <c r="A6" s="0" t="s">
        <v>36</v>
      </c>
      <c r="B6" s="0" t="s">
        <v>41</v>
      </c>
      <c r="C6" s="2" t="str">
        <f aca="false">_xlfn.FORMULATEXT(Registrations!C10)</f>
        <v>=$B$5/(1+B10)</v>
      </c>
      <c r="D6" s="2" t="s">
        <v>42</v>
      </c>
      <c r="E6" s="6" t="n">
        <f aca="false">Registrations!C10</f>
        <v>52001.4927229755</v>
      </c>
    </row>
    <row r="7" customFormat="false" ht="28.35" hidden="false" customHeight="false" outlineLevel="0" collapsed="false">
      <c r="A7" s="0" t="s">
        <v>36</v>
      </c>
      <c r="B7" s="0" t="s">
        <v>43</v>
      </c>
      <c r="C7" s="2" t="str">
        <f aca="false">_xlfn.FORMULATEXT(Registrations!D10)</f>
        <v>=$B$5/C10-1</v>
      </c>
      <c r="D7" s="2" t="s">
        <v>44</v>
      </c>
      <c r="E7" s="7" t="n">
        <f aca="false">Registrations!D10</f>
        <v>-0.1961</v>
      </c>
    </row>
    <row r="8" customFormat="false" ht="15" hidden="false" customHeight="false" outlineLevel="0" collapsed="false">
      <c r="A8" s="0" t="s">
        <v>45</v>
      </c>
      <c r="B8" s="0" t="s">
        <v>41</v>
      </c>
      <c r="C8" s="2" t="str">
        <f aca="false">_xlfn.FORMULATEXT(Affordability!C10)</f>
        <v>=B10*$B$2</v>
      </c>
      <c r="D8" s="2" t="s">
        <v>46</v>
      </c>
      <c r="E8" s="6" t="n">
        <f aca="false">Affordability!C10</f>
        <v>11182400</v>
      </c>
    </row>
    <row r="9" customFormat="false" ht="15" hidden="false" customHeight="false" outlineLevel="0" collapsed="false">
      <c r="A9" s="0" t="s">
        <v>45</v>
      </c>
      <c r="B9" s="0" t="s">
        <v>43</v>
      </c>
      <c r="C9" s="2" t="str">
        <f aca="false">_xlfn.FORMULATEXT(Affordability!D10)</f>
        <v>=C10*$B$3</v>
      </c>
      <c r="D9" s="2" t="s">
        <v>47</v>
      </c>
      <c r="E9" s="6" t="n">
        <f aca="false">Affordability!D10</f>
        <v>7827680</v>
      </c>
    </row>
    <row r="10" customFormat="false" ht="15" hidden="false" customHeight="false" outlineLevel="0" collapsed="false">
      <c r="A10" s="0" t="s">
        <v>45</v>
      </c>
      <c r="B10" s="0" t="s">
        <v>48</v>
      </c>
      <c r="C10" s="2" t="str">
        <f aca="false">_xlfn.FORMULATEXT(Affordability!E10)</f>
        <v>=-PMT($B$5/12,$B$4*12,D10)</v>
      </c>
      <c r="D10" s="2" t="s">
        <v>49</v>
      </c>
      <c r="E10" s="6" t="n">
        <f aca="false">Affordability!E10</f>
        <v>86189.4990602017</v>
      </c>
    </row>
    <row r="11" customFormat="false" ht="15" hidden="false" customHeight="false" outlineLevel="0" collapsed="false">
      <c r="A11" s="0" t="s">
        <v>45</v>
      </c>
      <c r="B11" s="0" t="s">
        <v>50</v>
      </c>
      <c r="C11" s="2" t="str">
        <f aca="false">_xlfn.FORMULATEXT(Affordability!F10)</f>
        <v>=E10/$B$6</v>
      </c>
      <c r="D11" s="2" t="s">
        <v>51</v>
      </c>
      <c r="E11" s="6" t="n">
        <f aca="false">Affordability!F10</f>
        <v>215473.747650504</v>
      </c>
    </row>
    <row r="12" customFormat="false" ht="15" hidden="false" customHeight="false" outlineLevel="0" collapsed="false">
      <c r="A12" s="0" t="s">
        <v>45</v>
      </c>
      <c r="B12" s="0" t="s">
        <v>52</v>
      </c>
      <c r="C12" s="2" t="str">
        <f aca="false">_xlfn.FORMULATEXT(Affordability!G10)</f>
        <v>=F10/$B$7</v>
      </c>
      <c r="D12" s="2" t="s">
        <v>53</v>
      </c>
      <c r="E12" s="5" t="n">
        <f aca="false">Affordability!G10</f>
        <v>4.70908817559071</v>
      </c>
    </row>
    <row r="13" customFormat="false" ht="15" hidden="false" customHeight="false" outlineLevel="0" collapsed="false">
      <c r="A13" s="0" t="s">
        <v>45</v>
      </c>
      <c r="B13" s="0" t="s">
        <v>54</v>
      </c>
      <c r="C13" s="2" t="str">
        <f aca="false">_xlfn.FORMULATEXT(Affordability!B20)</f>
        <v>=-PMT(A20/12,$B$4*12,$D$15)</v>
      </c>
      <c r="D13" s="2" t="s">
        <v>55</v>
      </c>
      <c r="E13" s="6" t="n">
        <f aca="false">Affordability!B20</f>
        <v>39654.0755799225</v>
      </c>
    </row>
    <row r="14" customFormat="false" ht="15" hidden="false" customHeight="false" outlineLevel="0" collapsed="false">
      <c r="A14" s="0" t="s">
        <v>56</v>
      </c>
      <c r="B14" s="0" t="s">
        <v>57</v>
      </c>
      <c r="C14" s="2" t="str">
        <f aca="false">_xlfn.FORMULATEXT(Automation_Scenarios!B5)</f>
        <v>=AVERAGE(B3:C3)-AVERAGE(B4:C4)</v>
      </c>
      <c r="D14" s="2" t="s">
        <v>58</v>
      </c>
      <c r="E14" s="8" t="n">
        <f aca="false">Automation_Scenarios!B5</f>
        <v>11</v>
      </c>
    </row>
    <row r="15" customFormat="false" ht="15" hidden="false" customHeight="false" outlineLevel="0" collapsed="false">
      <c r="A15" s="0" t="s">
        <v>56</v>
      </c>
      <c r="B15" s="0" t="s">
        <v>59</v>
      </c>
      <c r="C15" s="2" t="str">
        <f aca="false">_xlfn.FORMULATEXT(Automation_Scenarios!C8)</f>
        <v>=B8/60</v>
      </c>
      <c r="D15" s="2" t="s">
        <v>60</v>
      </c>
      <c r="E15" s="5" t="n">
        <f aca="false">Automation_Scenarios!C8</f>
        <v>1.83333333333333</v>
      </c>
    </row>
    <row r="16" customFormat="false" ht="15" hidden="false" customHeight="false" outlineLevel="0" collapsed="false">
      <c r="A16" s="0" t="s">
        <v>56</v>
      </c>
      <c r="B16" s="0" t="s">
        <v>61</v>
      </c>
      <c r="C16" s="2" t="str">
        <f aca="false">_xlfn.FORMULATEXT(Automation_Scenarios!D8)</f>
        <v>=C8*4.33</v>
      </c>
      <c r="D16" s="2" t="s">
        <v>62</v>
      </c>
      <c r="E16" s="5" t="n">
        <f aca="false">Automation_Scenarios!D8</f>
        <v>7.93833333333333</v>
      </c>
    </row>
    <row r="17" customFormat="false" ht="28.35" hidden="false" customHeight="false" outlineLevel="0" collapsed="false">
      <c r="A17" s="0" t="s">
        <v>63</v>
      </c>
      <c r="B17" s="0" t="s">
        <v>64</v>
      </c>
      <c r="C17" s="2" t="str">
        <f aca="false">_xlfn.FORMULATEXT(Chat_Log_Fictional!H3)</f>
        <v>=IF(SUMPRODUCT(--ISNUMBER(SEARCH($Keywords.B$3:B$7,$D3)))&gt;0,1,0)</v>
      </c>
      <c r="D17" s="2" t="s">
        <v>65</v>
      </c>
      <c r="E17" s="8" t="n">
        <f aca="false">Chat_Log_Fictional!H3</f>
        <v>1</v>
      </c>
    </row>
    <row r="18" customFormat="false" ht="15" hidden="false" customHeight="false" outlineLevel="0" collapsed="false">
      <c r="A18" s="0" t="s">
        <v>63</v>
      </c>
      <c r="B18" s="0" t="s">
        <v>66</v>
      </c>
      <c r="C18" s="2" t="str">
        <f aca="false">_xlfn.FORMULATEXT(Chat_Log_Fictional!N3)</f>
        <v>=SUM(H3:M3)</v>
      </c>
      <c r="D18" s="2" t="s">
        <v>67</v>
      </c>
      <c r="E18" s="8" t="n">
        <f aca="false">Chat_Log_Fictional!N3</f>
        <v>1</v>
      </c>
    </row>
    <row r="19" customFormat="false" ht="15" hidden="false" customHeight="false" outlineLevel="0" collapsed="false">
      <c r="A19" s="0" t="s">
        <v>63</v>
      </c>
      <c r="B19" s="0" t="s">
        <v>68</v>
      </c>
      <c r="C19" s="2" t="str">
        <f aca="false">_xlfn.FORMULATEXT(Chat_Log_Fictional!O3)</f>
        <v>=IF(N3=0,"Other",INDEX($H$2:$M$2,MATCH(1,H3:M3,0)))</v>
      </c>
      <c r="D19" s="2" t="s">
        <v>69</v>
      </c>
      <c r="E19" s="0" t="str">
        <f aca="false">Chat_Log_Fictional!O3</f>
        <v>Market data</v>
      </c>
    </row>
    <row r="20" customFormat="false" ht="15" hidden="false" customHeight="false" outlineLevel="0" collapsed="false">
      <c r="A20" s="0" t="s">
        <v>70</v>
      </c>
      <c r="B20" s="0" t="s">
        <v>71</v>
      </c>
      <c r="C20" s="2" t="str">
        <f aca="false">_xlfn.FORMULATEXT(Keyword_Analysis!B2)</f>
        <v>=COUNTA($Chat_Log_Fictional.$A$3:$A$155)</v>
      </c>
      <c r="D20" s="2" t="s">
        <v>72</v>
      </c>
      <c r="E20" s="8" t="n">
        <f aca="false">Keyword_Analysis!B2</f>
        <v>153</v>
      </c>
    </row>
    <row r="21" customFormat="false" ht="15" hidden="false" customHeight="false" outlineLevel="0" collapsed="false">
      <c r="A21" s="0" t="s">
        <v>70</v>
      </c>
      <c r="B21" s="0" t="s">
        <v>57</v>
      </c>
      <c r="C21" s="2" t="str">
        <f aca="false">_xlfn.FORMULATEXT(Keyword_Analysis!B5)</f>
        <v>=SUM($Chat_Log_Fictional.$H$3:$H$155)</v>
      </c>
      <c r="D21" s="2" t="s">
        <v>73</v>
      </c>
      <c r="E21" s="8" t="n">
        <f aca="false">Keyword_Analysis!B5</f>
        <v>44</v>
      </c>
    </row>
    <row r="22" customFormat="false" ht="15" hidden="false" customHeight="false" outlineLevel="0" collapsed="false">
      <c r="A22" s="0" t="s">
        <v>70</v>
      </c>
      <c r="B22" s="0" t="s">
        <v>74</v>
      </c>
      <c r="C22" s="2" t="str">
        <f aca="false">_xlfn.FORMULATEXT(Keyword_Analysis!C5)</f>
        <v>=B5/$B$2</v>
      </c>
      <c r="D22" s="2" t="s">
        <v>75</v>
      </c>
      <c r="E22" s="9" t="n">
        <f aca="false">Keyword_Analysis!C5</f>
        <v>0.287581699346405</v>
      </c>
    </row>
    <row r="23" customFormat="false" ht="28.35" hidden="false" customHeight="false" outlineLevel="0" collapsed="false">
      <c r="A23" s="0" t="s">
        <v>70</v>
      </c>
      <c r="B23" s="0" t="s">
        <v>76</v>
      </c>
      <c r="C23" s="2" t="str">
        <f aca="false">_xlfn.FORMULATEXT(Keyword_Analysis!D5)</f>
        <v>=SUMPRODUCT($Chat_Log_Fictional.$H$3:$H$155,$Chat_Log_Fictional.$E$3:$E$155)/B5</v>
      </c>
      <c r="D23" s="2" t="s">
        <v>77</v>
      </c>
      <c r="E23" s="5" t="n">
        <f aca="false">Keyword_Analysis!D5</f>
        <v>13.6136363636364</v>
      </c>
    </row>
    <row r="24" customFormat="false" ht="15" hidden="false" customHeight="false" outlineLevel="0" collapsed="false">
      <c r="A24" s="0" t="s">
        <v>70</v>
      </c>
      <c r="B24" s="0" t="s">
        <v>78</v>
      </c>
      <c r="C24" s="2" t="str">
        <f aca="false">_xlfn.FORMULATEXT(Keyword_Analysis!E5)</f>
        <v>=B5*D5/60</v>
      </c>
      <c r="D24" s="2" t="s">
        <v>79</v>
      </c>
      <c r="E24" s="5" t="n">
        <f aca="false">Keyword_Analysis!E5</f>
        <v>9.98333333333333</v>
      </c>
    </row>
    <row r="25" customFormat="false" ht="28.35" hidden="false" customHeight="false" outlineLevel="0" collapsed="false">
      <c r="A25" s="0" t="s">
        <v>70</v>
      </c>
      <c r="B25" s="0" t="s">
        <v>80</v>
      </c>
      <c r="C25" s="2" t="str">
        <f aca="false">_xlfn.FORMULATEXT(Keyword_Analysis!F5)</f>
        <v>=SUMPRODUCT($Chat_Log_Fictional.$H$3:$H$155,$Chat_Log_Fictional.$F$3:$F$155)/B5</v>
      </c>
      <c r="D25" s="2" t="s">
        <v>81</v>
      </c>
      <c r="E25" s="5" t="n">
        <f aca="false">Keyword_Analysis!F5</f>
        <v>3.47727272727273</v>
      </c>
    </row>
    <row r="26" customFormat="false" ht="28.35" hidden="false" customHeight="false" outlineLevel="0" collapsed="false">
      <c r="A26" s="0" t="s">
        <v>70</v>
      </c>
      <c r="B26" s="0" t="s">
        <v>82</v>
      </c>
      <c r="C26" s="2" t="str">
        <f aca="false">_xlfn.FORMULATEXT(Keyword_Analysis!G5)</f>
        <v>=SUMPRODUCT($Chat_Log_Fictional.$H$3:$H$155,--($Chat_Log_Fictional.$G$3:$G$155="Y"))/B5</v>
      </c>
      <c r="D26" s="2" t="s">
        <v>83</v>
      </c>
      <c r="E26" s="9" t="n">
        <f aca="false">Keyword_Analysis!G5</f>
        <v>0.136363636363636</v>
      </c>
    </row>
    <row r="27" customFormat="false" ht="15" hidden="false" customHeight="false" outlineLevel="0" collapsed="false">
      <c r="A27" s="0" t="s">
        <v>70</v>
      </c>
      <c r="B27" s="0" t="s">
        <v>84</v>
      </c>
      <c r="C27" s="2" t="str">
        <f aca="false">_xlfn.FORMULATEXT(Keyword_Analysis!H5)</f>
        <v>=E5*(1+G5)*(5-F5)</v>
      </c>
      <c r="D27" s="2" t="s">
        <v>85</v>
      </c>
      <c r="E27" s="5" t="n">
        <f aca="false">Keyword_Analysis!H5</f>
        <v>17.274879476584</v>
      </c>
    </row>
    <row r="28" customFormat="false" ht="15" hidden="false" customHeight="false" outlineLevel="0" collapsed="false">
      <c r="A28" s="0" t="s">
        <v>70</v>
      </c>
      <c r="B28" s="0" t="s">
        <v>86</v>
      </c>
      <c r="C28" s="2" t="str">
        <f aca="false">_xlfn.FORMULATEXT(Keyword_Analysis!I5)</f>
        <v>=RANK(H5,$H$5:$H$10)</v>
      </c>
      <c r="D28" s="2" t="s">
        <v>87</v>
      </c>
      <c r="E28" s="8" t="n">
        <f aca="false">Keyword_Analysis!I5</f>
        <v>2</v>
      </c>
    </row>
    <row r="29" customFormat="false" ht="15" hidden="false" customHeight="false" outlineLevel="0" collapsed="false">
      <c r="A29" s="0" t="s">
        <v>70</v>
      </c>
      <c r="B29" s="0" t="s">
        <v>88</v>
      </c>
      <c r="C29" s="2" t="str">
        <f aca="false">_xlfn.FORMULATEXT(Keyword_Analysis!B11)</f>
        <v>=COUNTIF($Chat_Log_Fictional.$N$3:$N$155,0)</v>
      </c>
      <c r="D29" s="2" t="s">
        <v>89</v>
      </c>
      <c r="E29" s="8" t="n">
        <f aca="false">Keyword_Analysis!B11</f>
        <v>14</v>
      </c>
    </row>
    <row r="30" customFormat="false" ht="28.35" hidden="false" customHeight="false" outlineLevel="0" collapsed="false">
      <c r="A30" s="0" t="s">
        <v>90</v>
      </c>
      <c r="B30" s="0" t="s">
        <v>91</v>
      </c>
      <c r="C30" s="2" t="str">
        <f aca="false">_xlfn.FORMULATEXT(Weekly_Trend!B3)</f>
        <v>=SUMIFS($Chat_Log_Fictional.$H$3:$H$155,$Chat_Log_Fictional.$B$3:$B$155,$A3)</v>
      </c>
      <c r="D30" s="2" t="s">
        <v>92</v>
      </c>
      <c r="E30" s="8" t="n">
        <f aca="false">Weekly_Trend!B3</f>
        <v>3</v>
      </c>
    </row>
    <row r="31" customFormat="false" ht="15" hidden="false" customHeight="false" outlineLevel="0" collapsed="false">
      <c r="A31" s="0" t="s">
        <v>90</v>
      </c>
      <c r="B31" s="0" t="s">
        <v>93</v>
      </c>
      <c r="C31" s="2" t="str">
        <f aca="false">_xlfn.FORMULATEXT(Weekly_Trend!B14)</f>
        <v>=B13/B12</v>
      </c>
      <c r="D31" s="2" t="s">
        <v>94</v>
      </c>
      <c r="E31" s="5" t="n">
        <f aca="false">Weekly_Trend!B14</f>
        <v>2.47619047619048</v>
      </c>
    </row>
    <row r="32" customFormat="false" ht="15" hidden="false" customHeight="false" outlineLevel="0" collapsed="false">
      <c r="A32" s="0" t="s">
        <v>90</v>
      </c>
      <c r="B32" s="0" t="s">
        <v>95</v>
      </c>
      <c r="C32" s="2" t="str">
        <f aca="false">_xlfn.FORMULATEXT(Weekly_Trend!B15)</f>
        <v>=IF(B14&gt;1.5,"Investigate","Normal")</v>
      </c>
      <c r="D32" s="2" t="s">
        <v>96</v>
      </c>
      <c r="E32" s="0" t="str">
        <f aca="false">Weekly_Trend!B15</f>
        <v>Investigate</v>
      </c>
    </row>
    <row r="33" customFormat="false" ht="41.75" hidden="false" customHeight="false" outlineLevel="0" collapsed="false">
      <c r="A33" s="0" t="s">
        <v>97</v>
      </c>
      <c r="B33" s="0" t="s">
        <v>98</v>
      </c>
      <c r="C33" s="2" t="str">
        <f aca="false">_xlfn.FORMULATEXT(Product_Roadmap!B4)</f>
        <v>=$Keyword_Analysis.B5&amp;" of "&amp;$Keyword_Analysis.$B$2&amp;" chats ("&amp;TEXT($Keyword_Analysis.C5,"0%")&amp;"), avg CSAT "&amp;TEXT($Keyword_Analysis.F5,"0.0")</v>
      </c>
      <c r="D33" s="2" t="s">
        <v>99</v>
      </c>
      <c r="E33" s="0" t="str">
        <f aca="false">Product_Roadmap!B4</f>
        <v>44 of 153 chats (29%), avg CSAT 3.5</v>
      </c>
    </row>
    <row r="34" customFormat="false" ht="15" hidden="false" customHeight="false" outlineLevel="0" collapsed="false">
      <c r="A34" s="0" t="s">
        <v>97</v>
      </c>
      <c r="B34" s="0" t="s">
        <v>100</v>
      </c>
      <c r="C34" s="2" t="str">
        <f aca="false">_xlfn.FORMULATEXT(Product_Roadmap!E4)</f>
        <v>=$Keyword_Analysis.B5/8*D4</v>
      </c>
      <c r="D34" s="2" t="s">
        <v>101</v>
      </c>
      <c r="E34" s="5" t="n">
        <f aca="false">Product_Roadmap!E4</f>
        <v>2.2</v>
      </c>
    </row>
    <row r="35" customFormat="false" ht="15" hidden="false" customHeight="false" outlineLevel="0" collapsed="false">
      <c r="A35" s="0" t="s">
        <v>97</v>
      </c>
      <c r="B35" s="0" t="s">
        <v>102</v>
      </c>
      <c r="C35" s="2" t="str">
        <f aca="false">_xlfn.FORMULATEXT(Product_Roadmap!F4)</f>
        <v>=E4*$Keyword_Analysis.D5/60</v>
      </c>
      <c r="D35" s="2" t="s">
        <v>103</v>
      </c>
      <c r="E35" s="5" t="n">
        <f aca="false">Product_Roadmap!F4</f>
        <v>0.499166666666667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18"/>
    <col collapsed="false" customWidth="true" hidden="false" outlineLevel="0" max="6" min="6" style="0" width="8"/>
  </cols>
  <sheetData>
    <row r="1" customFormat="false" ht="28.35" hidden="false" customHeight="false" outlineLevel="0" collapsed="false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</v>
      </c>
    </row>
    <row r="2" customFormat="false" ht="15" hidden="false" customHeight="false" outlineLevel="0" collapsed="false">
      <c r="A2" s="0" t="s">
        <v>109</v>
      </c>
      <c r="B2" s="6" t="n">
        <v>13978</v>
      </c>
      <c r="C2" s="0" t="n">
        <v>4.7</v>
      </c>
      <c r="D2" s="8" t="s">
        <v>110</v>
      </c>
      <c r="E2" s="4" t="n">
        <f aca="false">B2/$B$7</f>
        <v>2.17353444254393</v>
      </c>
      <c r="F2" s="8" t="s">
        <v>111</v>
      </c>
    </row>
    <row r="3" customFormat="false" ht="15" hidden="false" customHeight="false" outlineLevel="0" collapsed="false">
      <c r="A3" s="0" t="s">
        <v>112</v>
      </c>
      <c r="B3" s="6" t="n">
        <v>13684</v>
      </c>
      <c r="C3" s="0" t="n">
        <v>3.8</v>
      </c>
      <c r="D3" s="8" t="s">
        <v>113</v>
      </c>
      <c r="E3" s="4" t="n">
        <f aca="false">B3/$B$7</f>
        <v>2.12781837972322</v>
      </c>
      <c r="F3" s="8" t="s">
        <v>111</v>
      </c>
    </row>
    <row r="4" customFormat="false" ht="15" hidden="false" customHeight="false" outlineLevel="0" collapsed="false">
      <c r="A4" s="0" t="s">
        <v>114</v>
      </c>
      <c r="B4" s="6" t="n">
        <v>12289</v>
      </c>
      <c r="C4" s="0" t="n">
        <v>2.7</v>
      </c>
      <c r="D4" s="8" t="s">
        <v>115</v>
      </c>
      <c r="E4" s="4" t="n">
        <f aca="false">B4/$B$7</f>
        <v>1.91090032654331</v>
      </c>
      <c r="F4" s="8" t="s">
        <v>111</v>
      </c>
    </row>
    <row r="5" customFormat="false" ht="15" hidden="false" customHeight="false" outlineLevel="0" collapsed="false">
      <c r="A5" s="0" t="s">
        <v>116</v>
      </c>
      <c r="B5" s="6" t="n">
        <v>9894</v>
      </c>
      <c r="C5" s="0" t="n">
        <v>3.25</v>
      </c>
      <c r="D5" s="8" t="s">
        <v>117</v>
      </c>
      <c r="E5" s="4" t="n">
        <f aca="false">B5/$B$7</f>
        <v>1.53848546104805</v>
      </c>
      <c r="F5" s="8" t="s">
        <v>111</v>
      </c>
    </row>
    <row r="6" customFormat="false" ht="15" hidden="false" customHeight="false" outlineLevel="0" collapsed="false">
      <c r="A6" s="0" t="s">
        <v>118</v>
      </c>
      <c r="B6" s="6" t="n">
        <v>8925</v>
      </c>
      <c r="C6" s="0" t="n">
        <v>3.25</v>
      </c>
      <c r="D6" s="8" t="s">
        <v>119</v>
      </c>
      <c r="E6" s="4" t="n">
        <f aca="false">B6/$B$7</f>
        <v>1.38780904991448</v>
      </c>
      <c r="F6" s="8" t="s">
        <v>111</v>
      </c>
    </row>
    <row r="7" customFormat="false" ht="15" hidden="false" customHeight="false" outlineLevel="0" collapsed="false">
      <c r="A7" s="0" t="s">
        <v>120</v>
      </c>
      <c r="B7" s="6" t="n">
        <v>6431</v>
      </c>
      <c r="C7" s="0" t="n">
        <v>4.5</v>
      </c>
      <c r="D7" s="8" t="s">
        <v>117</v>
      </c>
      <c r="E7" s="4" t="n">
        <f aca="false">B7/$B$7</f>
        <v>1</v>
      </c>
      <c r="F7" s="8" t="s">
        <v>111</v>
      </c>
    </row>
    <row r="9" customFormat="false" ht="15" hidden="false" customHeight="false" outlineLevel="0" collapsed="false">
      <c r="A9" s="0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40"/>
    <col collapsed="false" customWidth="true" hidden="false" outlineLevel="0" max="6" min="6" style="0" width="22"/>
  </cols>
  <sheetData>
    <row r="1" customFormat="false" ht="28.35" hidden="false" customHeight="false" outlineLevel="0" collapsed="false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10" t="s">
        <v>127</v>
      </c>
    </row>
    <row r="2" customFormat="false" ht="15" hidden="false" customHeight="false" outlineLevel="0" collapsed="false">
      <c r="A2" s="0" t="s">
        <v>128</v>
      </c>
      <c r="B2" s="6" t="n">
        <v>146000</v>
      </c>
      <c r="C2" s="6" t="n">
        <v>100000</v>
      </c>
      <c r="D2" s="5" t="n">
        <f aca="false">C2*100/B2</f>
        <v>68.4931506849315</v>
      </c>
      <c r="E2" s="8" t="s">
        <v>129</v>
      </c>
      <c r="F2" s="6" t="n">
        <f aca="false">B2/2</f>
        <v>73000</v>
      </c>
    </row>
    <row r="3" customFormat="false" ht="15" hidden="false" customHeight="false" outlineLevel="0" collapsed="false">
      <c r="A3" s="0" t="s">
        <v>130</v>
      </c>
      <c r="B3" s="6" t="n">
        <v>112000</v>
      </c>
      <c r="C3" s="6" t="n">
        <v>79000</v>
      </c>
      <c r="D3" s="5" t="n">
        <f aca="false">C3*100/B3</f>
        <v>70.5357142857143</v>
      </c>
      <c r="E3" s="8" t="s">
        <v>129</v>
      </c>
      <c r="F3" s="6" t="n">
        <f aca="false">B3/2</f>
        <v>56000</v>
      </c>
    </row>
    <row r="4" customFormat="false" ht="15" hidden="false" customHeight="false" outlineLevel="0" collapsed="false">
      <c r="A4" s="0" t="s">
        <v>131</v>
      </c>
      <c r="B4" s="6" t="n">
        <v>104000</v>
      </c>
      <c r="C4" s="6" t="n">
        <v>61000</v>
      </c>
      <c r="D4" s="5" t="n">
        <f aca="false">C4*100/B4</f>
        <v>58.6538461538462</v>
      </c>
      <c r="E4" s="8" t="s">
        <v>129</v>
      </c>
      <c r="F4" s="6" t="n">
        <f aca="false">B4/2</f>
        <v>52000</v>
      </c>
    </row>
    <row r="5" customFormat="false" ht="15" hidden="false" customHeight="false" outlineLevel="0" collapsed="false">
      <c r="A5" s="0" t="s">
        <v>132</v>
      </c>
      <c r="B5" s="6" t="n">
        <v>41804</v>
      </c>
      <c r="C5" s="6" t="n">
        <v>18000</v>
      </c>
      <c r="D5" s="5" t="n">
        <f aca="false">C5*100/B5</f>
        <v>43.058080566453</v>
      </c>
      <c r="E5" s="8" t="s">
        <v>133</v>
      </c>
      <c r="F5" s="6" t="n">
        <f aca="false">B5</f>
        <v>41804</v>
      </c>
    </row>
    <row r="8" customFormat="false" ht="15" hidden="false" customHeight="false" outlineLevel="0" collapsed="false">
      <c r="A8" s="3" t="s">
        <v>134</v>
      </c>
    </row>
    <row r="9" customFormat="false" ht="15" hidden="false" customHeight="false" outlineLevel="0" collapsed="false">
      <c r="A9" s="1" t="s">
        <v>135</v>
      </c>
      <c r="B9" s="1" t="s">
        <v>136</v>
      </c>
      <c r="C9" s="1" t="s">
        <v>137</v>
      </c>
      <c r="D9" s="1" t="s">
        <v>138</v>
      </c>
    </row>
    <row r="10" customFormat="false" ht="15" hidden="false" customHeight="false" outlineLevel="0" collapsed="false">
      <c r="A10" s="0" t="s">
        <v>139</v>
      </c>
      <c r="B10" s="7" t="n">
        <v>-0.1961</v>
      </c>
      <c r="C10" s="6" t="n">
        <f aca="false">$B$5/(1+B10)</f>
        <v>52001.4927229755</v>
      </c>
      <c r="D10" s="7" t="n">
        <f aca="false">$B$5/C10-1</f>
        <v>-0.1961</v>
      </c>
    </row>
    <row r="11" customFormat="false" ht="15" hidden="false" customHeight="false" outlineLevel="0" collapsed="false">
      <c r="A11" s="0" t="s">
        <v>140</v>
      </c>
      <c r="B11" s="7" t="n">
        <v>-0.2535</v>
      </c>
      <c r="C11" s="6" t="n">
        <f aca="false">$B$5/(1+B11)</f>
        <v>56000</v>
      </c>
      <c r="D11" s="7" t="n">
        <f aca="false">$B$5/C11-1</f>
        <v>-0.2535</v>
      </c>
    </row>
    <row r="12" customFormat="false" ht="15" hidden="false" customHeight="false" outlineLevel="0" collapsed="false">
      <c r="A12" s="0" t="s">
        <v>141</v>
      </c>
      <c r="B12" s="7" t="n">
        <v>-0.4273</v>
      </c>
      <c r="C12" s="6" t="n">
        <f aca="false">$B$5/(1+B12)</f>
        <v>72994.5870438275</v>
      </c>
      <c r="D12" s="7" t="n">
        <f aca="false">$B$5/C12-1</f>
        <v>-0.4273</v>
      </c>
    </row>
    <row r="14" customFormat="false" ht="15" hidden="false" customHeight="false" outlineLevel="0" collapsed="false">
      <c r="A14" s="0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7" min="6" style="0" width="26"/>
    <col collapsed="false" customWidth="true" hidden="false" outlineLevel="0" max="8" min="8" style="0" width="24"/>
  </cols>
  <sheetData>
    <row r="1" customFormat="false" ht="15" hidden="false" customHeight="false" outlineLevel="0" collapsed="false">
      <c r="A1" s="3" t="s">
        <v>143</v>
      </c>
    </row>
    <row r="2" customFormat="false" ht="15" hidden="false" customHeight="false" outlineLevel="0" collapsed="false">
      <c r="A2" s="0" t="s">
        <v>144</v>
      </c>
      <c r="B2" s="11" t="n">
        <v>800</v>
      </c>
    </row>
    <row r="3" customFormat="false" ht="15" hidden="false" customHeight="false" outlineLevel="0" collapsed="false">
      <c r="A3" s="0" t="s">
        <v>145</v>
      </c>
      <c r="B3" s="12" t="n">
        <v>0.7</v>
      </c>
    </row>
    <row r="4" customFormat="false" ht="15" hidden="false" customHeight="false" outlineLevel="0" collapsed="false">
      <c r="A4" s="0" t="s">
        <v>146</v>
      </c>
      <c r="B4" s="11" t="n">
        <v>20</v>
      </c>
    </row>
    <row r="5" customFormat="false" ht="15" hidden="false" customHeight="false" outlineLevel="0" collapsed="false">
      <c r="A5" s="0" t="s">
        <v>147</v>
      </c>
      <c r="B5" s="13" t="n">
        <v>0.12</v>
      </c>
    </row>
    <row r="6" customFormat="false" ht="15" hidden="false" customHeight="false" outlineLevel="0" collapsed="false">
      <c r="A6" s="0" t="s">
        <v>148</v>
      </c>
      <c r="B6" s="12" t="n">
        <v>0.4</v>
      </c>
    </row>
    <row r="7" customFormat="false" ht="15" hidden="false" customHeight="false" outlineLevel="0" collapsed="false">
      <c r="A7" s="0" t="s">
        <v>149</v>
      </c>
      <c r="B7" s="14" t="n">
        <v>45757</v>
      </c>
    </row>
    <row r="9" customFormat="false" ht="28.35" hidden="false" customHeight="false" outlineLevel="0" collapsed="false">
      <c r="A9" s="1" t="s">
        <v>104</v>
      </c>
      <c r="B9" s="1" t="s">
        <v>150</v>
      </c>
      <c r="C9" s="1" t="s">
        <v>151</v>
      </c>
      <c r="D9" s="1" t="s">
        <v>152</v>
      </c>
      <c r="E9" s="1" t="s">
        <v>153</v>
      </c>
      <c r="F9" s="1" t="s">
        <v>154</v>
      </c>
      <c r="G9" s="1" t="s">
        <v>155</v>
      </c>
      <c r="H9" s="10" t="s">
        <v>156</v>
      </c>
    </row>
    <row r="10" customFormat="false" ht="15" hidden="false" customHeight="false" outlineLevel="0" collapsed="false">
      <c r="A10" s="0" t="s">
        <v>109</v>
      </c>
      <c r="B10" s="6" t="n">
        <f aca="false">Prices!B2</f>
        <v>13978</v>
      </c>
      <c r="C10" s="6" t="n">
        <f aca="false">B10*$B$2</f>
        <v>11182400</v>
      </c>
      <c r="D10" s="6" t="n">
        <f aca="false">C10*$B$3</f>
        <v>7827680</v>
      </c>
      <c r="E10" s="6" t="n">
        <f aca="false">-PMT($B$5/12,$B$4*12,D10)</f>
        <v>86189.4990602017</v>
      </c>
      <c r="F10" s="6" t="n">
        <f aca="false">E10/$B$6</f>
        <v>215473.747650504</v>
      </c>
      <c r="G10" s="5" t="n">
        <f aca="false">F10/$B$7</f>
        <v>4.70908817559071</v>
      </c>
      <c r="H10" s="6" t="n">
        <f aca="false">$B$7</f>
        <v>45757</v>
      </c>
    </row>
    <row r="11" customFormat="false" ht="15" hidden="false" customHeight="false" outlineLevel="0" collapsed="false">
      <c r="A11" s="0" t="s">
        <v>112</v>
      </c>
      <c r="B11" s="6" t="n">
        <f aca="false">Prices!B3</f>
        <v>13684</v>
      </c>
      <c r="C11" s="6" t="n">
        <f aca="false">B11*$B$2</f>
        <v>10947200</v>
      </c>
      <c r="D11" s="6" t="n">
        <f aca="false">C11*$B$3</f>
        <v>7663040</v>
      </c>
      <c r="E11" s="6" t="n">
        <f aca="false">-PMT($B$5/12,$B$4*12,D11)</f>
        <v>84376.6708498926</v>
      </c>
      <c r="F11" s="6" t="n">
        <f aca="false">E11/$B$6</f>
        <v>210941.677124732</v>
      </c>
      <c r="G11" s="5" t="n">
        <f aca="false">F11/$B$7</f>
        <v>4.61004167940931</v>
      </c>
      <c r="H11" s="6" t="n">
        <f aca="false">$B$7</f>
        <v>45757</v>
      </c>
    </row>
    <row r="12" customFormat="false" ht="15" hidden="false" customHeight="false" outlineLevel="0" collapsed="false">
      <c r="A12" s="0" t="s">
        <v>114</v>
      </c>
      <c r="B12" s="6" t="n">
        <f aca="false">Prices!B4</f>
        <v>12289</v>
      </c>
      <c r="C12" s="6" t="n">
        <f aca="false">B12*$B$2</f>
        <v>9831200</v>
      </c>
      <c r="D12" s="6" t="n">
        <f aca="false">C12*$B$3</f>
        <v>6881840</v>
      </c>
      <c r="E12" s="6" t="n">
        <f aca="false">-PMT($B$5/12,$B$4*12,D12)</f>
        <v>75774.9859744468</v>
      </c>
      <c r="F12" s="6" t="n">
        <f aca="false">E12/$B$6</f>
        <v>189437.464936117</v>
      </c>
      <c r="G12" s="5" t="n">
        <f aca="false">F12/$B$7</f>
        <v>4.14007616181387</v>
      </c>
      <c r="H12" s="6" t="n">
        <f aca="false">$B$7</f>
        <v>45757</v>
      </c>
    </row>
    <row r="13" customFormat="false" ht="15" hidden="false" customHeight="false" outlineLevel="0" collapsed="false">
      <c r="A13" s="0" t="s">
        <v>116</v>
      </c>
      <c r="B13" s="6" t="n">
        <f aca="false">Prices!B5</f>
        <v>9894</v>
      </c>
      <c r="C13" s="6" t="n">
        <f aca="false">B13*$B$2</f>
        <v>7915200</v>
      </c>
      <c r="D13" s="6" t="n">
        <f aca="false">C13*$B$3</f>
        <v>5540640</v>
      </c>
      <c r="E13" s="6" t="n">
        <f aca="false">-PMT($B$5/12,$B$4*12,D13)</f>
        <v>61007.2187510112</v>
      </c>
      <c r="F13" s="6" t="n">
        <f aca="false">E13/$B$6</f>
        <v>152518.046877528</v>
      </c>
      <c r="G13" s="5" t="n">
        <f aca="false">F13/$B$7</f>
        <v>3.33321780006399</v>
      </c>
      <c r="H13" s="6" t="n">
        <f aca="false">$B$7</f>
        <v>45757</v>
      </c>
    </row>
    <row r="14" customFormat="false" ht="15" hidden="false" customHeight="false" outlineLevel="0" collapsed="false">
      <c r="A14" s="0" t="s">
        <v>118</v>
      </c>
      <c r="B14" s="6" t="n">
        <f aca="false">Prices!B6</f>
        <v>8925</v>
      </c>
      <c r="C14" s="6" t="n">
        <f aca="false">B14*$B$2</f>
        <v>7140000</v>
      </c>
      <c r="D14" s="6" t="n">
        <f aca="false">C14*$B$3</f>
        <v>4998000</v>
      </c>
      <c r="E14" s="6" t="n">
        <f aca="false">-PMT($B$5/12,$B$4*12,D14)</f>
        <v>55032.2849558091</v>
      </c>
      <c r="F14" s="6" t="n">
        <f aca="false">E14/$B$6</f>
        <v>137580.712389523</v>
      </c>
      <c r="G14" s="5" t="n">
        <f aca="false">F14/$B$7</f>
        <v>3.00676863407834</v>
      </c>
      <c r="H14" s="6" t="n">
        <f aca="false">$B$7</f>
        <v>45757</v>
      </c>
    </row>
    <row r="15" customFormat="false" ht="15" hidden="false" customHeight="false" outlineLevel="0" collapsed="false">
      <c r="A15" s="0" t="s">
        <v>120</v>
      </c>
      <c r="B15" s="6" t="n">
        <f aca="false">Prices!B7</f>
        <v>6431</v>
      </c>
      <c r="C15" s="6" t="n">
        <f aca="false">B15*$B$2</f>
        <v>5144800</v>
      </c>
      <c r="D15" s="6" t="n">
        <f aca="false">C15*$B$3</f>
        <v>3601360</v>
      </c>
      <c r="E15" s="6" t="n">
        <f aca="false">-PMT($B$5/12,$B$4*12,D15)</f>
        <v>39654.0755799225</v>
      </c>
      <c r="F15" s="6" t="n">
        <f aca="false">E15/$B$6</f>
        <v>99135.1889498063</v>
      </c>
      <c r="G15" s="5" t="n">
        <f aca="false">F15/$B$7</f>
        <v>2.16655788075718</v>
      </c>
      <c r="H15" s="6" t="n">
        <f aca="false">$B$7</f>
        <v>45757</v>
      </c>
    </row>
    <row r="17" customFormat="false" ht="15" hidden="false" customHeight="false" outlineLevel="0" collapsed="false">
      <c r="A17" s="3" t="s">
        <v>157</v>
      </c>
    </row>
    <row r="18" customFormat="false" ht="28.35" hidden="false" customHeight="false" outlineLevel="0" collapsed="false">
      <c r="A18" s="1" t="s">
        <v>158</v>
      </c>
      <c r="B18" s="1" t="s">
        <v>153</v>
      </c>
      <c r="C18" s="1" t="s">
        <v>154</v>
      </c>
    </row>
    <row r="19" customFormat="false" ht="15" hidden="false" customHeight="false" outlineLevel="0" collapsed="false">
      <c r="A19" s="9" t="n">
        <v>0.1</v>
      </c>
      <c r="B19" s="6" t="n">
        <f aca="false">-PMT(A19/12,$B$4*12,$D$15)</f>
        <v>34753.9035170373</v>
      </c>
      <c r="C19" s="6" t="n">
        <f aca="false">B19/$B$6</f>
        <v>86884.7587925932</v>
      </c>
    </row>
    <row r="20" customFormat="false" ht="15" hidden="false" customHeight="false" outlineLevel="0" collapsed="false">
      <c r="A20" s="9" t="n">
        <v>0.12</v>
      </c>
      <c r="B20" s="6" t="n">
        <f aca="false">-PMT(A20/12,$B$4*12,$D$15)</f>
        <v>39654.0755799225</v>
      </c>
      <c r="C20" s="6" t="n">
        <f aca="false">B20/$B$6</f>
        <v>99135.1889498063</v>
      </c>
    </row>
    <row r="21" customFormat="false" ht="15" hidden="false" customHeight="false" outlineLevel="0" collapsed="false">
      <c r="A21" s="9" t="n">
        <v>0.14</v>
      </c>
      <c r="B21" s="6" t="n">
        <f aca="false">-PMT(A21/12,$B$4*12,$D$15)</f>
        <v>44783.6610802987</v>
      </c>
      <c r="C21" s="6" t="n">
        <f aca="false">B21/$B$6</f>
        <v>111959.152700747</v>
      </c>
    </row>
    <row r="23" customFormat="false" ht="15" hidden="false" customHeight="false" outlineLevel="0" collapsed="false">
      <c r="A23" s="0" t="s">
        <v>159</v>
      </c>
    </row>
    <row r="24" customFormat="false" ht="15" hidden="false" customHeight="false" outlineLevel="0" collapsed="false">
      <c r="A24" s="0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22"/>
    <col collapsed="false" customWidth="true" hidden="false" outlineLevel="0" max="4" min="4" style="0" width="34"/>
  </cols>
  <sheetData>
    <row r="1" customFormat="false" ht="15" hidden="false" customHeight="false" outlineLevel="0" collapsed="false">
      <c r="A1" s="3" t="s">
        <v>161</v>
      </c>
    </row>
    <row r="3" customFormat="false" ht="15" hidden="false" customHeight="false" outlineLevel="0" collapsed="false">
      <c r="A3" s="0" t="s">
        <v>162</v>
      </c>
      <c r="B3" s="11" t="n">
        <v>12</v>
      </c>
      <c r="C3" s="11" t="n">
        <v>15</v>
      </c>
    </row>
    <row r="4" customFormat="false" ht="15" hidden="false" customHeight="false" outlineLevel="0" collapsed="false">
      <c r="A4" s="0" t="s">
        <v>163</v>
      </c>
      <c r="B4" s="11" t="n">
        <v>2</v>
      </c>
      <c r="C4" s="11" t="n">
        <v>3</v>
      </c>
    </row>
    <row r="5" customFormat="false" ht="15" hidden="false" customHeight="false" outlineLevel="0" collapsed="false">
      <c r="A5" s="0" t="s">
        <v>164</v>
      </c>
      <c r="B5" s="0" t="n">
        <f aca="false">AVERAGE(B3:C3)-AVERAGE(B4:C4)</f>
        <v>11</v>
      </c>
    </row>
    <row r="7" customFormat="false" ht="28.35" hidden="false" customHeight="false" outlineLevel="0" collapsed="false">
      <c r="A7" s="1" t="s">
        <v>165</v>
      </c>
      <c r="B7" s="1" t="s">
        <v>166</v>
      </c>
      <c r="C7" s="1" t="s">
        <v>167</v>
      </c>
      <c r="D7" s="1" t="s">
        <v>168</v>
      </c>
    </row>
    <row r="8" customFormat="false" ht="15" hidden="false" customHeight="false" outlineLevel="0" collapsed="false">
      <c r="A8" s="11" t="n">
        <v>10</v>
      </c>
      <c r="B8" s="5" t="n">
        <f aca="false">A8*$B$5</f>
        <v>110</v>
      </c>
      <c r="C8" s="5" t="n">
        <f aca="false">B8/60</f>
        <v>1.83333333333333</v>
      </c>
      <c r="D8" s="5" t="n">
        <f aca="false">C8*4.33</f>
        <v>7.93833333333333</v>
      </c>
    </row>
    <row r="9" customFormat="false" ht="15" hidden="false" customHeight="false" outlineLevel="0" collapsed="false">
      <c r="A9" s="11" t="n">
        <v>25</v>
      </c>
      <c r="B9" s="5" t="n">
        <f aca="false">A9*$B$5</f>
        <v>275</v>
      </c>
      <c r="C9" s="5" t="n">
        <f aca="false">B9/60</f>
        <v>4.58333333333333</v>
      </c>
      <c r="D9" s="5" t="n">
        <f aca="false">C9*4.33</f>
        <v>19.8458333333333</v>
      </c>
    </row>
    <row r="10" customFormat="false" ht="15" hidden="false" customHeight="false" outlineLevel="0" collapsed="false">
      <c r="A10" s="11" t="n">
        <v>50</v>
      </c>
      <c r="B10" s="5" t="n">
        <f aca="false">A10*$B$5</f>
        <v>550</v>
      </c>
      <c r="C10" s="5" t="n">
        <f aca="false">B10/60</f>
        <v>9.16666666666667</v>
      </c>
      <c r="D10" s="5" t="n">
        <f aca="false">C10*4.33</f>
        <v>39.6916666666667</v>
      </c>
    </row>
    <row r="11" customFormat="false" ht="15" hidden="false" customHeight="false" outlineLevel="0" collapsed="false">
      <c r="A11" s="11" t="n">
        <v>100</v>
      </c>
      <c r="B11" s="5" t="n">
        <f aca="false">A11*$B$5</f>
        <v>1100</v>
      </c>
      <c r="C11" s="5" t="n">
        <f aca="false">B11/60</f>
        <v>18.3333333333333</v>
      </c>
      <c r="D11" s="5" t="n">
        <f aca="false">C11*4.33</f>
        <v>79.3833333333333</v>
      </c>
    </row>
    <row r="13" customFormat="false" ht="15" hidden="false" customHeight="false" outlineLevel="0" collapsed="false">
      <c r="A13" s="0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7" min="2" style="0" width="24"/>
  </cols>
  <sheetData>
    <row r="1" customFormat="false" ht="15" hidden="false" customHeight="false" outlineLevel="0" collapsed="false">
      <c r="A1" s="3" t="s">
        <v>170</v>
      </c>
    </row>
    <row r="2" customFormat="false" ht="15" hidden="false" customHeight="false" outlineLevel="0" collapsed="false">
      <c r="A2" s="15" t="s">
        <v>171</v>
      </c>
      <c r="B2" s="10" t="s">
        <v>172</v>
      </c>
      <c r="C2" s="10" t="s">
        <v>173</v>
      </c>
      <c r="D2" s="10" t="s">
        <v>174</v>
      </c>
      <c r="E2" s="10" t="s">
        <v>175</v>
      </c>
      <c r="F2" s="10" t="s">
        <v>176</v>
      </c>
      <c r="G2" s="10" t="s">
        <v>177</v>
      </c>
    </row>
    <row r="3" customFormat="false" ht="15" hidden="false" customHeight="false" outlineLevel="0" collapsed="false">
      <c r="A3" s="0" t="n">
        <v>1</v>
      </c>
      <c r="B3" s="11" t="s">
        <v>178</v>
      </c>
      <c r="C3" s="11" t="s">
        <v>179</v>
      </c>
      <c r="D3" s="11" t="s">
        <v>180</v>
      </c>
      <c r="E3" s="11" t="s">
        <v>181</v>
      </c>
      <c r="F3" s="11" t="s">
        <v>182</v>
      </c>
      <c r="G3" s="11" t="s">
        <v>183</v>
      </c>
    </row>
    <row r="4" customFormat="false" ht="15" hidden="false" customHeight="false" outlineLevel="0" collapsed="false">
      <c r="A4" s="0" t="n">
        <v>2</v>
      </c>
      <c r="B4" s="11" t="s">
        <v>184</v>
      </c>
      <c r="C4" s="11" t="s">
        <v>185</v>
      </c>
      <c r="D4" s="11" t="s">
        <v>186</v>
      </c>
      <c r="E4" s="11" t="s">
        <v>187</v>
      </c>
      <c r="F4" s="11" t="s">
        <v>188</v>
      </c>
      <c r="G4" s="11" t="s">
        <v>189</v>
      </c>
    </row>
    <row r="5" customFormat="false" ht="15" hidden="false" customHeight="false" outlineLevel="0" collapsed="false">
      <c r="A5" s="0" t="n">
        <v>3</v>
      </c>
      <c r="B5" s="11" t="s">
        <v>190</v>
      </c>
      <c r="C5" s="11" t="s">
        <v>191</v>
      </c>
      <c r="D5" s="11" t="s">
        <v>192</v>
      </c>
      <c r="E5" s="11" t="s">
        <v>193</v>
      </c>
      <c r="F5" s="11" t="s">
        <v>194</v>
      </c>
      <c r="G5" s="11" t="s">
        <v>195</v>
      </c>
    </row>
    <row r="6" customFormat="false" ht="15" hidden="false" customHeight="false" outlineLevel="0" collapsed="false">
      <c r="A6" s="0" t="n">
        <v>4</v>
      </c>
      <c r="B6" s="11" t="s">
        <v>196</v>
      </c>
      <c r="C6" s="11" t="s">
        <v>197</v>
      </c>
      <c r="D6" s="11" t="s">
        <v>198</v>
      </c>
      <c r="E6" s="11" t="s">
        <v>199</v>
      </c>
      <c r="F6" s="11" t="s">
        <v>200</v>
      </c>
      <c r="G6" s="11" t="s">
        <v>201</v>
      </c>
    </row>
    <row r="7" customFormat="false" ht="15" hidden="false" customHeight="false" outlineLevel="0" collapsed="false">
      <c r="A7" s="0" t="n">
        <v>5</v>
      </c>
      <c r="B7" s="11" t="s">
        <v>202</v>
      </c>
      <c r="C7" s="11" t="s">
        <v>203</v>
      </c>
      <c r="D7" s="11" t="s">
        <v>204</v>
      </c>
      <c r="E7" s="11" t="s">
        <v>205</v>
      </c>
      <c r="F7" s="11" t="s">
        <v>206</v>
      </c>
      <c r="G7" s="11" t="s">
        <v>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4" min="4" style="0" width="7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13" min="8" style="0" width="14"/>
    <col collapsed="false" customWidth="true" hidden="false" outlineLevel="0" max="14" min="14" style="0" width="10"/>
    <col collapsed="false" customWidth="true" hidden="false" outlineLevel="0" max="15" min="15" style="0" width="24"/>
  </cols>
  <sheetData>
    <row r="1" customFormat="false" ht="15" hidden="false" customHeight="false" outlineLevel="0" collapsed="false">
      <c r="A1" s="3" t="s">
        <v>208</v>
      </c>
    </row>
    <row r="2" customFormat="false" ht="41.75" hidden="false" customHeight="false" outlineLevel="0" collapsed="false">
      <c r="A2" s="1" t="s">
        <v>209</v>
      </c>
      <c r="B2" s="1" t="s">
        <v>210</v>
      </c>
      <c r="C2" s="1" t="s">
        <v>211</v>
      </c>
      <c r="D2" s="1" t="s">
        <v>212</v>
      </c>
      <c r="E2" s="1" t="s">
        <v>213</v>
      </c>
      <c r="F2" s="1" t="s">
        <v>214</v>
      </c>
      <c r="G2" s="1" t="s">
        <v>215</v>
      </c>
      <c r="H2" s="1" t="s">
        <v>172</v>
      </c>
      <c r="I2" s="1" t="s">
        <v>173</v>
      </c>
      <c r="J2" s="1" t="s">
        <v>174</v>
      </c>
      <c r="K2" s="1" t="s">
        <v>175</v>
      </c>
      <c r="L2" s="1" t="s">
        <v>176</v>
      </c>
      <c r="M2" s="1" t="s">
        <v>177</v>
      </c>
      <c r="N2" s="1" t="s">
        <v>216</v>
      </c>
      <c r="O2" s="1" t="s">
        <v>217</v>
      </c>
    </row>
    <row r="3" customFormat="false" ht="15" hidden="false" customHeight="false" outlineLevel="0" collapsed="false">
      <c r="A3" s="0" t="s">
        <v>218</v>
      </c>
      <c r="B3" s="0" t="n">
        <v>1</v>
      </c>
      <c r="C3" s="0" t="s">
        <v>219</v>
      </c>
      <c r="D3" s="0" t="s">
        <v>220</v>
      </c>
      <c r="E3" s="0" t="n">
        <v>15</v>
      </c>
      <c r="F3" s="0" t="n">
        <v>5</v>
      </c>
      <c r="G3" s="0" t="s">
        <v>221</v>
      </c>
      <c r="H3" s="0" t="n">
        <f aca="false">IF(SUMPRODUCT(--ISNUMBER(SEARCH(Keywords!B$3:B$7,$D3)))&gt;0,1,0)</f>
        <v>1</v>
      </c>
      <c r="I3" s="0" t="n">
        <f aca="false">IF(SUMPRODUCT(--ISNUMBER(SEARCH(Keywords!C$3:C$7,$D3)))&gt;0,1,0)</f>
        <v>0</v>
      </c>
      <c r="J3" s="0" t="n">
        <f aca="false">IF(SUMPRODUCT(--ISNUMBER(SEARCH(Keywords!D$3:D$7,$D3)))&gt;0,1,0)</f>
        <v>0</v>
      </c>
      <c r="K3" s="0" t="n">
        <f aca="false">IF(SUMPRODUCT(--ISNUMBER(SEARCH(Keywords!E$3:E$7,$D3)))&gt;0,1,0)</f>
        <v>0</v>
      </c>
      <c r="L3" s="0" t="n">
        <f aca="false">IF(SUMPRODUCT(--ISNUMBER(SEARCH(Keywords!F$3:F$7,$D3)))&gt;0,1,0)</f>
        <v>0</v>
      </c>
      <c r="M3" s="0" t="n">
        <f aca="false">IF(SUMPRODUCT(--ISNUMBER(SEARCH(Keywords!G$3:G$7,$D3)))&gt;0,1,0)</f>
        <v>0</v>
      </c>
      <c r="N3" s="0" t="n">
        <f aca="false">SUM(H3:M3)</f>
        <v>1</v>
      </c>
      <c r="O3" s="0" t="str">
        <f aca="false">IF(N3=0,"Other",INDEX($H$2:$M$2,MATCH(1,H3:M3,0)))</f>
        <v>Market data</v>
      </c>
    </row>
    <row r="4" customFormat="false" ht="15" hidden="false" customHeight="false" outlineLevel="0" collapsed="false">
      <c r="A4" s="0" t="s">
        <v>222</v>
      </c>
      <c r="B4" s="0" t="n">
        <v>1</v>
      </c>
      <c r="C4" s="0" t="s">
        <v>219</v>
      </c>
      <c r="D4" s="0" t="s">
        <v>223</v>
      </c>
      <c r="E4" s="0" t="n">
        <v>8</v>
      </c>
      <c r="F4" s="0" t="n">
        <v>2</v>
      </c>
      <c r="G4" s="0" t="s">
        <v>224</v>
      </c>
      <c r="H4" s="0" t="n">
        <f aca="false">IF(SUMPRODUCT(--ISNUMBER(SEARCH(Keywords!B$3:B$7,$D4)))&gt;0,1,0)</f>
        <v>1</v>
      </c>
      <c r="I4" s="0" t="n">
        <f aca="false">IF(SUMPRODUCT(--ISNUMBER(SEARCH(Keywords!C$3:C$7,$D4)))&gt;0,1,0)</f>
        <v>0</v>
      </c>
      <c r="J4" s="0" t="n">
        <f aca="false">IF(SUMPRODUCT(--ISNUMBER(SEARCH(Keywords!D$3:D$7,$D4)))&gt;0,1,0)</f>
        <v>0</v>
      </c>
      <c r="K4" s="0" t="n">
        <f aca="false">IF(SUMPRODUCT(--ISNUMBER(SEARCH(Keywords!E$3:E$7,$D4)))&gt;0,1,0)</f>
        <v>0</v>
      </c>
      <c r="L4" s="0" t="n">
        <f aca="false">IF(SUMPRODUCT(--ISNUMBER(SEARCH(Keywords!F$3:F$7,$D4)))&gt;0,1,0)</f>
        <v>0</v>
      </c>
      <c r="M4" s="0" t="n">
        <f aca="false">IF(SUMPRODUCT(--ISNUMBER(SEARCH(Keywords!G$3:G$7,$D4)))&gt;0,1,0)</f>
        <v>0</v>
      </c>
      <c r="N4" s="0" t="n">
        <f aca="false">SUM(H4:M4)</f>
        <v>1</v>
      </c>
      <c r="O4" s="0" t="str">
        <f aca="false">IF(N4=0,"Other",INDEX($H$2:$M$2,MATCH(1,H4:M4,0)))</f>
        <v>Market data</v>
      </c>
    </row>
    <row r="5" customFormat="false" ht="15" hidden="false" customHeight="false" outlineLevel="0" collapsed="false">
      <c r="A5" s="0" t="s">
        <v>225</v>
      </c>
      <c r="B5" s="0" t="n">
        <v>1</v>
      </c>
      <c r="C5" s="0" t="s">
        <v>219</v>
      </c>
      <c r="D5" s="0" t="s">
        <v>226</v>
      </c>
      <c r="E5" s="0" t="n">
        <v>14</v>
      </c>
      <c r="F5" s="0" t="n">
        <v>4</v>
      </c>
      <c r="G5" s="0" t="s">
        <v>221</v>
      </c>
      <c r="H5" s="0" t="n">
        <f aca="false">IF(SUMPRODUCT(--ISNUMBER(SEARCH(Keywords!B$3:B$7,$D5)))&gt;0,1,0)</f>
        <v>0</v>
      </c>
      <c r="I5" s="0" t="n">
        <f aca="false">IF(SUMPRODUCT(--ISNUMBER(SEARCH(Keywords!C$3:C$7,$D5)))&gt;0,1,0)</f>
        <v>1</v>
      </c>
      <c r="J5" s="0" t="n">
        <f aca="false">IF(SUMPRODUCT(--ISNUMBER(SEARCH(Keywords!D$3:D$7,$D5)))&gt;0,1,0)</f>
        <v>0</v>
      </c>
      <c r="K5" s="0" t="n">
        <f aca="false">IF(SUMPRODUCT(--ISNUMBER(SEARCH(Keywords!E$3:E$7,$D5)))&gt;0,1,0)</f>
        <v>0</v>
      </c>
      <c r="L5" s="0" t="n">
        <f aca="false">IF(SUMPRODUCT(--ISNUMBER(SEARCH(Keywords!F$3:F$7,$D5)))&gt;0,1,0)</f>
        <v>0</v>
      </c>
      <c r="M5" s="0" t="n">
        <f aca="false">IF(SUMPRODUCT(--ISNUMBER(SEARCH(Keywords!G$3:G$7,$D5)))&gt;0,1,0)</f>
        <v>0</v>
      </c>
      <c r="N5" s="0" t="n">
        <f aca="false">SUM(H5:M5)</f>
        <v>1</v>
      </c>
      <c r="O5" s="0" t="str">
        <f aca="false">IF(N5=0,"Other",INDEX($H$2:$M$2,MATCH(1,H5:M5,0)))</f>
        <v>Account status</v>
      </c>
    </row>
    <row r="6" customFormat="false" ht="15" hidden="false" customHeight="false" outlineLevel="0" collapsed="false">
      <c r="A6" s="0" t="s">
        <v>227</v>
      </c>
      <c r="B6" s="0" t="n">
        <v>1</v>
      </c>
      <c r="C6" s="0" t="s">
        <v>219</v>
      </c>
      <c r="D6" s="0" t="s">
        <v>228</v>
      </c>
      <c r="E6" s="0" t="n">
        <v>6</v>
      </c>
      <c r="F6" s="0" t="n">
        <v>5</v>
      </c>
      <c r="G6" s="0" t="s">
        <v>221</v>
      </c>
      <c r="H6" s="0" t="n">
        <f aca="false">IF(SUMPRODUCT(--ISNUMBER(SEARCH(Keywords!B$3:B$7,$D6)))&gt;0,1,0)</f>
        <v>0</v>
      </c>
      <c r="I6" s="0" t="n">
        <f aca="false">IF(SUMPRODUCT(--ISNUMBER(SEARCH(Keywords!C$3:C$7,$D6)))&gt;0,1,0)</f>
        <v>1</v>
      </c>
      <c r="J6" s="0" t="n">
        <f aca="false">IF(SUMPRODUCT(--ISNUMBER(SEARCH(Keywords!D$3:D$7,$D6)))&gt;0,1,0)</f>
        <v>0</v>
      </c>
      <c r="K6" s="0" t="n">
        <f aca="false">IF(SUMPRODUCT(--ISNUMBER(SEARCH(Keywords!E$3:E$7,$D6)))&gt;0,1,0)</f>
        <v>0</v>
      </c>
      <c r="L6" s="0" t="n">
        <f aca="false">IF(SUMPRODUCT(--ISNUMBER(SEARCH(Keywords!F$3:F$7,$D6)))&gt;0,1,0)</f>
        <v>1</v>
      </c>
      <c r="M6" s="0" t="n">
        <f aca="false">IF(SUMPRODUCT(--ISNUMBER(SEARCH(Keywords!G$3:G$7,$D6)))&gt;0,1,0)</f>
        <v>0</v>
      </c>
      <c r="N6" s="0" t="n">
        <f aca="false">SUM(H6:M6)</f>
        <v>2</v>
      </c>
      <c r="O6" s="0" t="str">
        <f aca="false">IF(N6=0,"Other",INDEX($H$2:$M$2,MATCH(1,H6:M6,0)))</f>
        <v>Account status</v>
      </c>
    </row>
    <row r="7" customFormat="false" ht="15" hidden="false" customHeight="false" outlineLevel="0" collapsed="false">
      <c r="A7" s="0" t="s">
        <v>229</v>
      </c>
      <c r="B7" s="0" t="n">
        <v>1</v>
      </c>
      <c r="C7" s="0" t="s">
        <v>230</v>
      </c>
      <c r="D7" s="0" t="s">
        <v>231</v>
      </c>
      <c r="E7" s="0" t="n">
        <v>7</v>
      </c>
      <c r="F7" s="0" t="n">
        <v>5</v>
      </c>
      <c r="G7" s="0" t="s">
        <v>224</v>
      </c>
      <c r="H7" s="0" t="n">
        <f aca="false">IF(SUMPRODUCT(--ISNUMBER(SEARCH(Keywords!B$3:B$7,$D7)))&gt;0,1,0)</f>
        <v>0</v>
      </c>
      <c r="I7" s="0" t="n">
        <f aca="false">IF(SUMPRODUCT(--ISNUMBER(SEARCH(Keywords!C$3:C$7,$D7)))&gt;0,1,0)</f>
        <v>0</v>
      </c>
      <c r="J7" s="0" t="n">
        <f aca="false">IF(SUMPRODUCT(--ISNUMBER(SEARCH(Keywords!D$3:D$7,$D7)))&gt;0,1,0)</f>
        <v>0</v>
      </c>
      <c r="K7" s="0" t="n">
        <f aca="false">IF(SUMPRODUCT(--ISNUMBER(SEARCH(Keywords!E$3:E$7,$D7)))&gt;0,1,0)</f>
        <v>0</v>
      </c>
      <c r="L7" s="0" t="n">
        <f aca="false">IF(SUMPRODUCT(--ISNUMBER(SEARCH(Keywords!F$3:F$7,$D7)))&gt;0,1,0)</f>
        <v>0</v>
      </c>
      <c r="M7" s="0" t="n">
        <f aca="false">IF(SUMPRODUCT(--ISNUMBER(SEARCH(Keywords!G$3:G$7,$D7)))&gt;0,1,0)</f>
        <v>1</v>
      </c>
      <c r="N7" s="0" t="n">
        <f aca="false">SUM(H7:M7)</f>
        <v>1</v>
      </c>
      <c r="O7" s="0" t="str">
        <f aca="false">IF(N7=0,"Other",INDEX($H$2:$M$2,MATCH(1,H7:M7,0)))</f>
        <v>Platform setup</v>
      </c>
    </row>
    <row r="8" customFormat="false" ht="15" hidden="false" customHeight="false" outlineLevel="0" collapsed="false">
      <c r="A8" s="0" t="s">
        <v>232</v>
      </c>
      <c r="B8" s="0" t="n">
        <v>1</v>
      </c>
      <c r="C8" s="0" t="s">
        <v>219</v>
      </c>
      <c r="D8" s="0" t="s">
        <v>233</v>
      </c>
      <c r="E8" s="0" t="n">
        <v>28</v>
      </c>
      <c r="F8" s="0" t="n">
        <v>2</v>
      </c>
      <c r="G8" s="0" t="s">
        <v>224</v>
      </c>
      <c r="H8" s="0" t="n">
        <f aca="false">IF(SUMPRODUCT(--ISNUMBER(SEARCH(Keywords!B$3:B$7,$D8)))&gt;0,1,0)</f>
        <v>0</v>
      </c>
      <c r="I8" s="0" t="n">
        <f aca="false">IF(SUMPRODUCT(--ISNUMBER(SEARCH(Keywords!C$3:C$7,$D8)))&gt;0,1,0)</f>
        <v>0</v>
      </c>
      <c r="J8" s="0" t="n">
        <f aca="false">IF(SUMPRODUCT(--ISNUMBER(SEARCH(Keywords!D$3:D$7,$D8)))&gt;0,1,0)</f>
        <v>1</v>
      </c>
      <c r="K8" s="0" t="n">
        <f aca="false">IF(SUMPRODUCT(--ISNUMBER(SEARCH(Keywords!E$3:E$7,$D8)))&gt;0,1,0)</f>
        <v>0</v>
      </c>
      <c r="L8" s="0" t="n">
        <f aca="false">IF(SUMPRODUCT(--ISNUMBER(SEARCH(Keywords!F$3:F$7,$D8)))&gt;0,1,0)</f>
        <v>0</v>
      </c>
      <c r="M8" s="0" t="n">
        <f aca="false">IF(SUMPRODUCT(--ISNUMBER(SEARCH(Keywords!G$3:G$7,$D8)))&gt;0,1,0)</f>
        <v>0</v>
      </c>
      <c r="N8" s="0" t="n">
        <f aca="false">SUM(H8:M8)</f>
        <v>1</v>
      </c>
      <c r="O8" s="0" t="str">
        <f aca="false">IF(N8=0,"Other",INDEX($H$2:$M$2,MATCH(1,H8:M8,0)))</f>
        <v>Closure or limit reason</v>
      </c>
    </row>
    <row r="9" customFormat="false" ht="15" hidden="false" customHeight="false" outlineLevel="0" collapsed="false">
      <c r="A9" s="0" t="s">
        <v>234</v>
      </c>
      <c r="B9" s="0" t="n">
        <v>1</v>
      </c>
      <c r="C9" s="0" t="s">
        <v>230</v>
      </c>
      <c r="D9" s="0" t="s">
        <v>235</v>
      </c>
      <c r="E9" s="0" t="n">
        <v>5</v>
      </c>
      <c r="F9" s="0" t="n">
        <v>4</v>
      </c>
      <c r="G9" s="0" t="s">
        <v>221</v>
      </c>
      <c r="H9" s="0" t="n">
        <f aca="false">IF(SUMPRODUCT(--ISNUMBER(SEARCH(Keywords!B$3:B$7,$D9)))&gt;0,1,0)</f>
        <v>0</v>
      </c>
      <c r="I9" s="0" t="n">
        <f aca="false">IF(SUMPRODUCT(--ISNUMBER(SEARCH(Keywords!C$3:C$7,$D9)))&gt;0,1,0)</f>
        <v>0</v>
      </c>
      <c r="J9" s="0" t="n">
        <f aca="false">IF(SUMPRODUCT(--ISNUMBER(SEARCH(Keywords!D$3:D$7,$D9)))&gt;0,1,0)</f>
        <v>0</v>
      </c>
      <c r="K9" s="0" t="n">
        <f aca="false">IF(SUMPRODUCT(--ISNUMBER(SEARCH(Keywords!E$3:E$7,$D9)))&gt;0,1,0)</f>
        <v>0</v>
      </c>
      <c r="L9" s="0" t="n">
        <f aca="false">IF(SUMPRODUCT(--ISNUMBER(SEARCH(Keywords!F$3:F$7,$D9)))&gt;0,1,0)</f>
        <v>0</v>
      </c>
      <c r="M9" s="0" t="n">
        <f aca="false">IF(SUMPRODUCT(--ISNUMBER(SEARCH(Keywords!G$3:G$7,$D9)))&gt;0,1,0)</f>
        <v>0</v>
      </c>
      <c r="N9" s="0" t="n">
        <f aca="false">SUM(H9:M9)</f>
        <v>0</v>
      </c>
      <c r="O9" s="0" t="str">
        <f aca="false">IF(N9=0,"Other",INDEX($H$2:$M$2,MATCH(1,H9:M9,0)))</f>
        <v>Other</v>
      </c>
    </row>
    <row r="10" customFormat="false" ht="15" hidden="false" customHeight="false" outlineLevel="0" collapsed="false">
      <c r="A10" s="0" t="s">
        <v>236</v>
      </c>
      <c r="B10" s="0" t="n">
        <v>1</v>
      </c>
      <c r="C10" s="0" t="s">
        <v>219</v>
      </c>
      <c r="D10" s="0" t="s">
        <v>237</v>
      </c>
      <c r="E10" s="0" t="n">
        <v>18</v>
      </c>
      <c r="F10" s="0" t="n">
        <v>4</v>
      </c>
      <c r="G10" s="0" t="s">
        <v>221</v>
      </c>
      <c r="H10" s="0" t="n">
        <f aca="false">IF(SUMPRODUCT(--ISNUMBER(SEARCH(Keywords!B$3:B$7,$D10)))&gt;0,1,0)</f>
        <v>0</v>
      </c>
      <c r="I10" s="0" t="n">
        <f aca="false">IF(SUMPRODUCT(--ISNUMBER(SEARCH(Keywords!C$3:C$7,$D10)))&gt;0,1,0)</f>
        <v>1</v>
      </c>
      <c r="J10" s="0" t="n">
        <f aca="false">IF(SUMPRODUCT(--ISNUMBER(SEARCH(Keywords!D$3:D$7,$D10)))&gt;0,1,0)</f>
        <v>0</v>
      </c>
      <c r="K10" s="0" t="n">
        <f aca="false">IF(SUMPRODUCT(--ISNUMBER(SEARCH(Keywords!E$3:E$7,$D10)))&gt;0,1,0)</f>
        <v>0</v>
      </c>
      <c r="L10" s="0" t="n">
        <f aca="false">IF(SUMPRODUCT(--ISNUMBER(SEARCH(Keywords!F$3:F$7,$D10)))&gt;0,1,0)</f>
        <v>0</v>
      </c>
      <c r="M10" s="0" t="n">
        <f aca="false">IF(SUMPRODUCT(--ISNUMBER(SEARCH(Keywords!G$3:G$7,$D10)))&gt;0,1,0)</f>
        <v>0</v>
      </c>
      <c r="N10" s="0" t="n">
        <f aca="false">SUM(H10:M10)</f>
        <v>1</v>
      </c>
      <c r="O10" s="0" t="str">
        <f aca="false">IF(N10=0,"Other",INDEX($H$2:$M$2,MATCH(1,H10:M10,0)))</f>
        <v>Account status</v>
      </c>
    </row>
    <row r="11" customFormat="false" ht="15" hidden="false" customHeight="false" outlineLevel="0" collapsed="false">
      <c r="A11" s="0" t="s">
        <v>238</v>
      </c>
      <c r="B11" s="0" t="n">
        <v>1</v>
      </c>
      <c r="C11" s="0" t="s">
        <v>219</v>
      </c>
      <c r="D11" s="0" t="s">
        <v>239</v>
      </c>
      <c r="E11" s="0" t="n">
        <v>15</v>
      </c>
      <c r="F11" s="0" t="n">
        <v>4</v>
      </c>
      <c r="G11" s="0" t="s">
        <v>224</v>
      </c>
      <c r="H11" s="0" t="n">
        <f aca="false">IF(SUMPRODUCT(--ISNUMBER(SEARCH(Keywords!B$3:B$7,$D11)))&gt;0,1,0)</f>
        <v>1</v>
      </c>
      <c r="I11" s="0" t="n">
        <f aca="false">IF(SUMPRODUCT(--ISNUMBER(SEARCH(Keywords!C$3:C$7,$D11)))&gt;0,1,0)</f>
        <v>0</v>
      </c>
      <c r="J11" s="0" t="n">
        <f aca="false">IF(SUMPRODUCT(--ISNUMBER(SEARCH(Keywords!D$3:D$7,$D11)))&gt;0,1,0)</f>
        <v>0</v>
      </c>
      <c r="K11" s="0" t="n">
        <f aca="false">IF(SUMPRODUCT(--ISNUMBER(SEARCH(Keywords!E$3:E$7,$D11)))&gt;0,1,0)</f>
        <v>0</v>
      </c>
      <c r="L11" s="0" t="n">
        <f aca="false">IF(SUMPRODUCT(--ISNUMBER(SEARCH(Keywords!F$3:F$7,$D11)))&gt;0,1,0)</f>
        <v>0</v>
      </c>
      <c r="M11" s="0" t="n">
        <f aca="false">IF(SUMPRODUCT(--ISNUMBER(SEARCH(Keywords!G$3:G$7,$D11)))&gt;0,1,0)</f>
        <v>0</v>
      </c>
      <c r="N11" s="0" t="n">
        <f aca="false">SUM(H11:M11)</f>
        <v>1</v>
      </c>
      <c r="O11" s="0" t="str">
        <f aca="false">IF(N11=0,"Other",INDEX($H$2:$M$2,MATCH(1,H11:M11,0)))</f>
        <v>Market data</v>
      </c>
    </row>
    <row r="12" customFormat="false" ht="15" hidden="false" customHeight="false" outlineLevel="0" collapsed="false">
      <c r="A12" s="0" t="s">
        <v>240</v>
      </c>
      <c r="B12" s="0" t="n">
        <v>1</v>
      </c>
      <c r="C12" s="0" t="s">
        <v>219</v>
      </c>
      <c r="D12" s="0" t="s">
        <v>241</v>
      </c>
      <c r="E12" s="0" t="n">
        <v>12</v>
      </c>
      <c r="F12" s="0" t="n">
        <v>3</v>
      </c>
      <c r="G12" s="0" t="s">
        <v>224</v>
      </c>
      <c r="H12" s="0" t="n">
        <f aca="false">IF(SUMPRODUCT(--ISNUMBER(SEARCH(Keywords!B$3:B$7,$D12)))&gt;0,1,0)</f>
        <v>0</v>
      </c>
      <c r="I12" s="0" t="n">
        <f aca="false">IF(SUMPRODUCT(--ISNUMBER(SEARCH(Keywords!C$3:C$7,$D12)))&gt;0,1,0)</f>
        <v>0</v>
      </c>
      <c r="J12" s="0" t="n">
        <f aca="false">IF(SUMPRODUCT(--ISNUMBER(SEARCH(Keywords!D$3:D$7,$D12)))&gt;0,1,0)</f>
        <v>0</v>
      </c>
      <c r="K12" s="0" t="n">
        <f aca="false">IF(SUMPRODUCT(--ISNUMBER(SEARCH(Keywords!E$3:E$7,$D12)))&gt;0,1,0)</f>
        <v>1</v>
      </c>
      <c r="L12" s="0" t="n">
        <f aca="false">IF(SUMPRODUCT(--ISNUMBER(SEARCH(Keywords!F$3:F$7,$D12)))&gt;0,1,0)</f>
        <v>0</v>
      </c>
      <c r="M12" s="0" t="n">
        <f aca="false">IF(SUMPRODUCT(--ISNUMBER(SEARCH(Keywords!G$3:G$7,$D12)))&gt;0,1,0)</f>
        <v>0</v>
      </c>
      <c r="N12" s="0" t="n">
        <f aca="false">SUM(H12:M12)</f>
        <v>1</v>
      </c>
      <c r="O12" s="0" t="str">
        <f aca="false">IF(N12=0,"Other",INDEX($H$2:$M$2,MATCH(1,H12:M12,0)))</f>
        <v>Payout or review</v>
      </c>
    </row>
    <row r="13" customFormat="false" ht="15" hidden="false" customHeight="false" outlineLevel="0" collapsed="false">
      <c r="A13" s="0" t="s">
        <v>242</v>
      </c>
      <c r="B13" s="0" t="n">
        <v>1</v>
      </c>
      <c r="C13" s="0" t="s">
        <v>219</v>
      </c>
      <c r="D13" s="0" t="s">
        <v>243</v>
      </c>
      <c r="E13" s="0" t="n">
        <v>20</v>
      </c>
      <c r="F13" s="0" t="n">
        <v>3</v>
      </c>
      <c r="G13" s="0" t="s">
        <v>221</v>
      </c>
      <c r="H13" s="0" t="n">
        <f aca="false">IF(SUMPRODUCT(--ISNUMBER(SEARCH(Keywords!B$3:B$7,$D13)))&gt;0,1,0)</f>
        <v>0</v>
      </c>
      <c r="I13" s="0" t="n">
        <f aca="false">IF(SUMPRODUCT(--ISNUMBER(SEARCH(Keywords!C$3:C$7,$D13)))&gt;0,1,0)</f>
        <v>0</v>
      </c>
      <c r="J13" s="0" t="n">
        <f aca="false">IF(SUMPRODUCT(--ISNUMBER(SEARCH(Keywords!D$3:D$7,$D13)))&gt;0,1,0)</f>
        <v>1</v>
      </c>
      <c r="K13" s="0" t="n">
        <f aca="false">IF(SUMPRODUCT(--ISNUMBER(SEARCH(Keywords!E$3:E$7,$D13)))&gt;0,1,0)</f>
        <v>0</v>
      </c>
      <c r="L13" s="0" t="n">
        <f aca="false">IF(SUMPRODUCT(--ISNUMBER(SEARCH(Keywords!F$3:F$7,$D13)))&gt;0,1,0)</f>
        <v>0</v>
      </c>
      <c r="M13" s="0" t="n">
        <f aca="false">IF(SUMPRODUCT(--ISNUMBER(SEARCH(Keywords!G$3:G$7,$D13)))&gt;0,1,0)</f>
        <v>0</v>
      </c>
      <c r="N13" s="0" t="n">
        <f aca="false">SUM(H13:M13)</f>
        <v>1</v>
      </c>
      <c r="O13" s="0" t="str">
        <f aca="false">IF(N13=0,"Other",INDEX($H$2:$M$2,MATCH(1,H13:M13,0)))</f>
        <v>Closure or limit reason</v>
      </c>
    </row>
    <row r="14" customFormat="false" ht="15" hidden="false" customHeight="false" outlineLevel="0" collapsed="false">
      <c r="A14" s="0" t="s">
        <v>244</v>
      </c>
      <c r="B14" s="0" t="n">
        <v>1</v>
      </c>
      <c r="C14" s="0" t="s">
        <v>219</v>
      </c>
      <c r="D14" s="0" t="s">
        <v>245</v>
      </c>
      <c r="E14" s="0" t="n">
        <v>8</v>
      </c>
      <c r="F14" s="0" t="n">
        <v>4</v>
      </c>
      <c r="G14" s="0" t="s">
        <v>224</v>
      </c>
      <c r="H14" s="0" t="n">
        <f aca="false">IF(SUMPRODUCT(--ISNUMBER(SEARCH(Keywords!B$3:B$7,$D14)))&gt;0,1,0)</f>
        <v>0</v>
      </c>
      <c r="I14" s="0" t="n">
        <f aca="false">IF(SUMPRODUCT(--ISNUMBER(SEARCH(Keywords!C$3:C$7,$D14)))&gt;0,1,0)</f>
        <v>0</v>
      </c>
      <c r="J14" s="0" t="n">
        <f aca="false">IF(SUMPRODUCT(--ISNUMBER(SEARCH(Keywords!D$3:D$7,$D14)))&gt;0,1,0)</f>
        <v>0</v>
      </c>
      <c r="K14" s="0" t="n">
        <f aca="false">IF(SUMPRODUCT(--ISNUMBER(SEARCH(Keywords!E$3:E$7,$D14)))&gt;0,1,0)</f>
        <v>1</v>
      </c>
      <c r="L14" s="0" t="n">
        <f aca="false">IF(SUMPRODUCT(--ISNUMBER(SEARCH(Keywords!F$3:F$7,$D14)))&gt;0,1,0)</f>
        <v>0</v>
      </c>
      <c r="M14" s="0" t="n">
        <f aca="false">IF(SUMPRODUCT(--ISNUMBER(SEARCH(Keywords!G$3:G$7,$D14)))&gt;0,1,0)</f>
        <v>0</v>
      </c>
      <c r="N14" s="0" t="n">
        <f aca="false">SUM(H14:M14)</f>
        <v>1</v>
      </c>
      <c r="O14" s="0" t="str">
        <f aca="false">IF(N14=0,"Other",INDEX($H$2:$M$2,MATCH(1,H14:M14,0)))</f>
        <v>Payout or review</v>
      </c>
    </row>
    <row r="15" customFormat="false" ht="15" hidden="false" customHeight="false" outlineLevel="0" collapsed="false">
      <c r="A15" s="0" t="s">
        <v>246</v>
      </c>
      <c r="B15" s="0" t="n">
        <v>1</v>
      </c>
      <c r="C15" s="0" t="s">
        <v>230</v>
      </c>
      <c r="D15" s="0" t="s">
        <v>247</v>
      </c>
      <c r="E15" s="0" t="n">
        <v>11</v>
      </c>
      <c r="F15" s="0" t="n">
        <v>5</v>
      </c>
      <c r="G15" s="0" t="s">
        <v>221</v>
      </c>
      <c r="H15" s="0" t="n">
        <f aca="false">IF(SUMPRODUCT(--ISNUMBER(SEARCH(Keywords!B$3:B$7,$D15)))&gt;0,1,0)</f>
        <v>0</v>
      </c>
      <c r="I15" s="0" t="n">
        <f aca="false">IF(SUMPRODUCT(--ISNUMBER(SEARCH(Keywords!C$3:C$7,$D15)))&gt;0,1,0)</f>
        <v>0</v>
      </c>
      <c r="J15" s="0" t="n">
        <f aca="false">IF(SUMPRODUCT(--ISNUMBER(SEARCH(Keywords!D$3:D$7,$D15)))&gt;0,1,0)</f>
        <v>0</v>
      </c>
      <c r="K15" s="0" t="n">
        <f aca="false">IF(SUMPRODUCT(--ISNUMBER(SEARCH(Keywords!E$3:E$7,$D15)))&gt;0,1,0)</f>
        <v>0</v>
      </c>
      <c r="L15" s="0" t="n">
        <f aca="false">IF(SUMPRODUCT(--ISNUMBER(SEARCH(Keywords!F$3:F$7,$D15)))&gt;0,1,0)</f>
        <v>0</v>
      </c>
      <c r="M15" s="0" t="n">
        <f aca="false">IF(SUMPRODUCT(--ISNUMBER(SEARCH(Keywords!G$3:G$7,$D15)))&gt;0,1,0)</f>
        <v>1</v>
      </c>
      <c r="N15" s="0" t="n">
        <f aca="false">SUM(H15:M15)</f>
        <v>1</v>
      </c>
      <c r="O15" s="0" t="str">
        <f aca="false">IF(N15=0,"Other",INDEX($H$2:$M$2,MATCH(1,H15:M15,0)))</f>
        <v>Platform setup</v>
      </c>
    </row>
    <row r="16" customFormat="false" ht="15" hidden="false" customHeight="false" outlineLevel="0" collapsed="false">
      <c r="A16" s="0" t="s">
        <v>248</v>
      </c>
      <c r="B16" s="0" t="n">
        <v>1</v>
      </c>
      <c r="C16" s="0" t="s">
        <v>230</v>
      </c>
      <c r="D16" s="0" t="s">
        <v>249</v>
      </c>
      <c r="E16" s="0" t="n">
        <v>8</v>
      </c>
      <c r="F16" s="0" t="n">
        <v>4</v>
      </c>
      <c r="G16" s="0" t="s">
        <v>221</v>
      </c>
      <c r="H16" s="0" t="n">
        <f aca="false">IF(SUMPRODUCT(--ISNUMBER(SEARCH(Keywords!B$3:B$7,$D16)))&gt;0,1,0)</f>
        <v>0</v>
      </c>
      <c r="I16" s="0" t="n">
        <f aca="false">IF(SUMPRODUCT(--ISNUMBER(SEARCH(Keywords!C$3:C$7,$D16)))&gt;0,1,0)</f>
        <v>0</v>
      </c>
      <c r="J16" s="0" t="n">
        <f aca="false">IF(SUMPRODUCT(--ISNUMBER(SEARCH(Keywords!D$3:D$7,$D16)))&gt;0,1,0)</f>
        <v>0</v>
      </c>
      <c r="K16" s="0" t="n">
        <f aca="false">IF(SUMPRODUCT(--ISNUMBER(SEARCH(Keywords!E$3:E$7,$D16)))&gt;0,1,0)</f>
        <v>0</v>
      </c>
      <c r="L16" s="0" t="n">
        <f aca="false">IF(SUMPRODUCT(--ISNUMBER(SEARCH(Keywords!F$3:F$7,$D16)))&gt;0,1,0)</f>
        <v>1</v>
      </c>
      <c r="M16" s="0" t="n">
        <f aca="false">IF(SUMPRODUCT(--ISNUMBER(SEARCH(Keywords!G$3:G$7,$D16)))&gt;0,1,0)</f>
        <v>0</v>
      </c>
      <c r="N16" s="0" t="n">
        <f aca="false">SUM(H16:M16)</f>
        <v>1</v>
      </c>
      <c r="O16" s="0" t="str">
        <f aca="false">IF(N16=0,"Other",INDEX($H$2:$M$2,MATCH(1,H16:M16,0)))</f>
        <v>Sign-in or verification</v>
      </c>
    </row>
    <row r="17" customFormat="false" ht="15" hidden="false" customHeight="false" outlineLevel="0" collapsed="false">
      <c r="A17" s="0" t="s">
        <v>250</v>
      </c>
      <c r="B17" s="0" t="n">
        <v>1</v>
      </c>
      <c r="C17" s="0" t="s">
        <v>219</v>
      </c>
      <c r="D17" s="0" t="s">
        <v>251</v>
      </c>
      <c r="E17" s="0" t="n">
        <v>20</v>
      </c>
      <c r="F17" s="0" t="n">
        <v>2</v>
      </c>
      <c r="G17" s="0" t="s">
        <v>221</v>
      </c>
      <c r="H17" s="0" t="n">
        <f aca="false">IF(SUMPRODUCT(--ISNUMBER(SEARCH(Keywords!B$3:B$7,$D17)))&gt;0,1,0)</f>
        <v>0</v>
      </c>
      <c r="I17" s="0" t="n">
        <f aca="false">IF(SUMPRODUCT(--ISNUMBER(SEARCH(Keywords!C$3:C$7,$D17)))&gt;0,1,0)</f>
        <v>0</v>
      </c>
      <c r="J17" s="0" t="n">
        <f aca="false">IF(SUMPRODUCT(--ISNUMBER(SEARCH(Keywords!D$3:D$7,$D17)))&gt;0,1,0)</f>
        <v>1</v>
      </c>
      <c r="K17" s="0" t="n">
        <f aca="false">IF(SUMPRODUCT(--ISNUMBER(SEARCH(Keywords!E$3:E$7,$D17)))&gt;0,1,0)</f>
        <v>0</v>
      </c>
      <c r="L17" s="0" t="n">
        <f aca="false">IF(SUMPRODUCT(--ISNUMBER(SEARCH(Keywords!F$3:F$7,$D17)))&gt;0,1,0)</f>
        <v>0</v>
      </c>
      <c r="M17" s="0" t="n">
        <f aca="false">IF(SUMPRODUCT(--ISNUMBER(SEARCH(Keywords!G$3:G$7,$D17)))&gt;0,1,0)</f>
        <v>0</v>
      </c>
      <c r="N17" s="0" t="n">
        <f aca="false">SUM(H17:M17)</f>
        <v>1</v>
      </c>
      <c r="O17" s="0" t="str">
        <f aca="false">IF(N17=0,"Other",INDEX($H$2:$M$2,MATCH(1,H17:M17,0)))</f>
        <v>Closure or limit reason</v>
      </c>
    </row>
    <row r="18" customFormat="false" ht="15" hidden="false" customHeight="false" outlineLevel="0" collapsed="false">
      <c r="A18" s="0" t="s">
        <v>252</v>
      </c>
      <c r="B18" s="0" t="n">
        <v>1</v>
      </c>
      <c r="C18" s="0" t="s">
        <v>219</v>
      </c>
      <c r="D18" s="0" t="s">
        <v>253</v>
      </c>
      <c r="E18" s="0" t="n">
        <v>7</v>
      </c>
      <c r="F18" s="0" t="n">
        <v>4</v>
      </c>
      <c r="G18" s="0" t="s">
        <v>221</v>
      </c>
      <c r="H18" s="0" t="n">
        <f aca="false">IF(SUMPRODUCT(--ISNUMBER(SEARCH(Keywords!B$3:B$7,$D18)))&gt;0,1,0)</f>
        <v>0</v>
      </c>
      <c r="I18" s="0" t="n">
        <f aca="false">IF(SUMPRODUCT(--ISNUMBER(SEARCH(Keywords!C$3:C$7,$D18)))&gt;0,1,0)</f>
        <v>0</v>
      </c>
      <c r="J18" s="0" t="n">
        <f aca="false">IF(SUMPRODUCT(--ISNUMBER(SEARCH(Keywords!D$3:D$7,$D18)))&gt;0,1,0)</f>
        <v>0</v>
      </c>
      <c r="K18" s="0" t="n">
        <f aca="false">IF(SUMPRODUCT(--ISNUMBER(SEARCH(Keywords!E$3:E$7,$D18)))&gt;0,1,0)</f>
        <v>0</v>
      </c>
      <c r="L18" s="0" t="n">
        <f aca="false">IF(SUMPRODUCT(--ISNUMBER(SEARCH(Keywords!F$3:F$7,$D18)))&gt;0,1,0)</f>
        <v>0</v>
      </c>
      <c r="M18" s="0" t="n">
        <f aca="false">IF(SUMPRODUCT(--ISNUMBER(SEARCH(Keywords!G$3:G$7,$D18)))&gt;0,1,0)</f>
        <v>0</v>
      </c>
      <c r="N18" s="0" t="n">
        <f aca="false">SUM(H18:M18)</f>
        <v>0</v>
      </c>
      <c r="O18" s="0" t="str">
        <f aca="false">IF(N18=0,"Other",INDEX($H$2:$M$2,MATCH(1,H18:M18,0)))</f>
        <v>Other</v>
      </c>
    </row>
    <row r="19" customFormat="false" ht="15" hidden="false" customHeight="false" outlineLevel="0" collapsed="false">
      <c r="A19" s="0" t="s">
        <v>254</v>
      </c>
      <c r="B19" s="0" t="n">
        <v>1</v>
      </c>
      <c r="C19" s="0" t="s">
        <v>230</v>
      </c>
      <c r="D19" s="0" t="s">
        <v>255</v>
      </c>
      <c r="E19" s="0" t="n">
        <v>11</v>
      </c>
      <c r="F19" s="0" t="n">
        <v>4</v>
      </c>
      <c r="G19" s="0" t="s">
        <v>221</v>
      </c>
      <c r="H19" s="0" t="n">
        <f aca="false">IF(SUMPRODUCT(--ISNUMBER(SEARCH(Keywords!B$3:B$7,$D19)))&gt;0,1,0)</f>
        <v>0</v>
      </c>
      <c r="I19" s="0" t="n">
        <f aca="false">IF(SUMPRODUCT(--ISNUMBER(SEARCH(Keywords!C$3:C$7,$D19)))&gt;0,1,0)</f>
        <v>0</v>
      </c>
      <c r="J19" s="0" t="n">
        <f aca="false">IF(SUMPRODUCT(--ISNUMBER(SEARCH(Keywords!D$3:D$7,$D19)))&gt;0,1,0)</f>
        <v>0</v>
      </c>
      <c r="K19" s="0" t="n">
        <f aca="false">IF(SUMPRODUCT(--ISNUMBER(SEARCH(Keywords!E$3:E$7,$D19)))&gt;0,1,0)</f>
        <v>1</v>
      </c>
      <c r="L19" s="0" t="n">
        <f aca="false">IF(SUMPRODUCT(--ISNUMBER(SEARCH(Keywords!F$3:F$7,$D19)))&gt;0,1,0)</f>
        <v>0</v>
      </c>
      <c r="M19" s="0" t="n">
        <f aca="false">IF(SUMPRODUCT(--ISNUMBER(SEARCH(Keywords!G$3:G$7,$D19)))&gt;0,1,0)</f>
        <v>0</v>
      </c>
      <c r="N19" s="0" t="n">
        <f aca="false">SUM(H19:M19)</f>
        <v>1</v>
      </c>
      <c r="O19" s="0" t="str">
        <f aca="false">IF(N19=0,"Other",INDEX($H$2:$M$2,MATCH(1,H19:M19,0)))</f>
        <v>Payout or review</v>
      </c>
    </row>
    <row r="20" customFormat="false" ht="15" hidden="false" customHeight="false" outlineLevel="0" collapsed="false">
      <c r="A20" s="0" t="s">
        <v>256</v>
      </c>
      <c r="B20" s="0" t="n">
        <v>2</v>
      </c>
      <c r="C20" s="0" t="s">
        <v>230</v>
      </c>
      <c r="D20" s="0" t="s">
        <v>257</v>
      </c>
      <c r="E20" s="0" t="n">
        <v>16</v>
      </c>
      <c r="F20" s="0" t="n">
        <v>4</v>
      </c>
      <c r="G20" s="0" t="s">
        <v>221</v>
      </c>
      <c r="H20" s="0" t="n">
        <f aca="false">IF(SUMPRODUCT(--ISNUMBER(SEARCH(Keywords!B$3:B$7,$D20)))&gt;0,1,0)</f>
        <v>1</v>
      </c>
      <c r="I20" s="0" t="n">
        <f aca="false">IF(SUMPRODUCT(--ISNUMBER(SEARCH(Keywords!C$3:C$7,$D20)))&gt;0,1,0)</f>
        <v>0</v>
      </c>
      <c r="J20" s="0" t="n">
        <f aca="false">IF(SUMPRODUCT(--ISNUMBER(SEARCH(Keywords!D$3:D$7,$D20)))&gt;0,1,0)</f>
        <v>0</v>
      </c>
      <c r="K20" s="0" t="n">
        <f aca="false">IF(SUMPRODUCT(--ISNUMBER(SEARCH(Keywords!E$3:E$7,$D20)))&gt;0,1,0)</f>
        <v>0</v>
      </c>
      <c r="L20" s="0" t="n">
        <f aca="false">IF(SUMPRODUCT(--ISNUMBER(SEARCH(Keywords!F$3:F$7,$D20)))&gt;0,1,0)</f>
        <v>0</v>
      </c>
      <c r="M20" s="0" t="n">
        <f aca="false">IF(SUMPRODUCT(--ISNUMBER(SEARCH(Keywords!G$3:G$7,$D20)))&gt;0,1,0)</f>
        <v>0</v>
      </c>
      <c r="N20" s="0" t="n">
        <f aca="false">SUM(H20:M20)</f>
        <v>1</v>
      </c>
      <c r="O20" s="0" t="str">
        <f aca="false">IF(N20=0,"Other",INDEX($H$2:$M$2,MATCH(1,H20:M20,0)))</f>
        <v>Market data</v>
      </c>
    </row>
    <row r="21" customFormat="false" ht="15" hidden="false" customHeight="false" outlineLevel="0" collapsed="false">
      <c r="A21" s="0" t="s">
        <v>258</v>
      </c>
      <c r="B21" s="0" t="n">
        <v>2</v>
      </c>
      <c r="C21" s="0" t="s">
        <v>230</v>
      </c>
      <c r="D21" s="0" t="s">
        <v>259</v>
      </c>
      <c r="E21" s="0" t="n">
        <v>10</v>
      </c>
      <c r="F21" s="0" t="n">
        <v>3</v>
      </c>
      <c r="G21" s="0" t="s">
        <v>221</v>
      </c>
      <c r="H21" s="0" t="n">
        <f aca="false">IF(SUMPRODUCT(--ISNUMBER(SEARCH(Keywords!B$3:B$7,$D21)))&gt;0,1,0)</f>
        <v>0</v>
      </c>
      <c r="I21" s="0" t="n">
        <f aca="false">IF(SUMPRODUCT(--ISNUMBER(SEARCH(Keywords!C$3:C$7,$D21)))&gt;0,1,0)</f>
        <v>0</v>
      </c>
      <c r="J21" s="0" t="n">
        <f aca="false">IF(SUMPRODUCT(--ISNUMBER(SEARCH(Keywords!D$3:D$7,$D21)))&gt;0,1,0)</f>
        <v>0</v>
      </c>
      <c r="K21" s="0" t="n">
        <f aca="false">IF(SUMPRODUCT(--ISNUMBER(SEARCH(Keywords!E$3:E$7,$D21)))&gt;0,1,0)</f>
        <v>0</v>
      </c>
      <c r="L21" s="0" t="n">
        <f aca="false">IF(SUMPRODUCT(--ISNUMBER(SEARCH(Keywords!F$3:F$7,$D21)))&gt;0,1,0)</f>
        <v>0</v>
      </c>
      <c r="M21" s="0" t="n">
        <f aca="false">IF(SUMPRODUCT(--ISNUMBER(SEARCH(Keywords!G$3:G$7,$D21)))&gt;0,1,0)</f>
        <v>1</v>
      </c>
      <c r="N21" s="0" t="n">
        <f aca="false">SUM(H21:M21)</f>
        <v>1</v>
      </c>
      <c r="O21" s="0" t="str">
        <f aca="false">IF(N21=0,"Other",INDEX($H$2:$M$2,MATCH(1,H21:M21,0)))</f>
        <v>Platform setup</v>
      </c>
    </row>
    <row r="22" customFormat="false" ht="15" hidden="false" customHeight="false" outlineLevel="0" collapsed="false">
      <c r="A22" s="0" t="s">
        <v>260</v>
      </c>
      <c r="B22" s="0" t="n">
        <v>2</v>
      </c>
      <c r="C22" s="0" t="s">
        <v>219</v>
      </c>
      <c r="D22" s="0" t="s">
        <v>261</v>
      </c>
      <c r="E22" s="0" t="n">
        <v>17</v>
      </c>
      <c r="F22" s="0" t="n">
        <v>3</v>
      </c>
      <c r="G22" s="0" t="s">
        <v>221</v>
      </c>
      <c r="H22" s="0" t="n">
        <f aca="false">IF(SUMPRODUCT(--ISNUMBER(SEARCH(Keywords!B$3:B$7,$D22)))&gt;0,1,0)</f>
        <v>0</v>
      </c>
      <c r="I22" s="0" t="n">
        <f aca="false">IF(SUMPRODUCT(--ISNUMBER(SEARCH(Keywords!C$3:C$7,$D22)))&gt;0,1,0)</f>
        <v>0</v>
      </c>
      <c r="J22" s="0" t="n">
        <f aca="false">IF(SUMPRODUCT(--ISNUMBER(SEARCH(Keywords!D$3:D$7,$D22)))&gt;0,1,0)</f>
        <v>1</v>
      </c>
      <c r="K22" s="0" t="n">
        <f aca="false">IF(SUMPRODUCT(--ISNUMBER(SEARCH(Keywords!E$3:E$7,$D22)))&gt;0,1,0)</f>
        <v>0</v>
      </c>
      <c r="L22" s="0" t="n">
        <f aca="false">IF(SUMPRODUCT(--ISNUMBER(SEARCH(Keywords!F$3:F$7,$D22)))&gt;0,1,0)</f>
        <v>0</v>
      </c>
      <c r="M22" s="0" t="n">
        <f aca="false">IF(SUMPRODUCT(--ISNUMBER(SEARCH(Keywords!G$3:G$7,$D22)))&gt;0,1,0)</f>
        <v>0</v>
      </c>
      <c r="N22" s="0" t="n">
        <f aca="false">SUM(H22:M22)</f>
        <v>1</v>
      </c>
      <c r="O22" s="0" t="str">
        <f aca="false">IF(N22=0,"Other",INDEX($H$2:$M$2,MATCH(1,H22:M22,0)))</f>
        <v>Closure or limit reason</v>
      </c>
    </row>
    <row r="23" customFormat="false" ht="15" hidden="false" customHeight="false" outlineLevel="0" collapsed="false">
      <c r="A23" s="0" t="s">
        <v>262</v>
      </c>
      <c r="B23" s="0" t="n">
        <v>2</v>
      </c>
      <c r="C23" s="0" t="s">
        <v>230</v>
      </c>
      <c r="D23" s="0" t="s">
        <v>263</v>
      </c>
      <c r="E23" s="0" t="n">
        <v>12</v>
      </c>
      <c r="F23" s="0" t="n">
        <v>4</v>
      </c>
      <c r="G23" s="0" t="s">
        <v>221</v>
      </c>
      <c r="H23" s="0" t="n">
        <f aca="false">IF(SUMPRODUCT(--ISNUMBER(SEARCH(Keywords!B$3:B$7,$D23)))&gt;0,1,0)</f>
        <v>0</v>
      </c>
      <c r="I23" s="0" t="n">
        <f aca="false">IF(SUMPRODUCT(--ISNUMBER(SEARCH(Keywords!C$3:C$7,$D23)))&gt;0,1,0)</f>
        <v>0</v>
      </c>
      <c r="J23" s="0" t="n">
        <f aca="false">IF(SUMPRODUCT(--ISNUMBER(SEARCH(Keywords!D$3:D$7,$D23)))&gt;0,1,0)</f>
        <v>0</v>
      </c>
      <c r="K23" s="0" t="n">
        <f aca="false">IF(SUMPRODUCT(--ISNUMBER(SEARCH(Keywords!E$3:E$7,$D23)))&gt;0,1,0)</f>
        <v>0</v>
      </c>
      <c r="L23" s="0" t="n">
        <f aca="false">IF(SUMPRODUCT(--ISNUMBER(SEARCH(Keywords!F$3:F$7,$D23)))&gt;0,1,0)</f>
        <v>0</v>
      </c>
      <c r="M23" s="0" t="n">
        <f aca="false">IF(SUMPRODUCT(--ISNUMBER(SEARCH(Keywords!G$3:G$7,$D23)))&gt;0,1,0)</f>
        <v>1</v>
      </c>
      <c r="N23" s="0" t="n">
        <f aca="false">SUM(H23:M23)</f>
        <v>1</v>
      </c>
      <c r="O23" s="0" t="str">
        <f aca="false">IF(N23=0,"Other",INDEX($H$2:$M$2,MATCH(1,H23:M23,0)))</f>
        <v>Platform setup</v>
      </c>
    </row>
    <row r="24" customFormat="false" ht="15" hidden="false" customHeight="false" outlineLevel="0" collapsed="false">
      <c r="A24" s="0" t="s">
        <v>264</v>
      </c>
      <c r="B24" s="0" t="n">
        <v>2</v>
      </c>
      <c r="C24" s="0" t="s">
        <v>230</v>
      </c>
      <c r="D24" s="0" t="s">
        <v>220</v>
      </c>
      <c r="E24" s="0" t="n">
        <v>12</v>
      </c>
      <c r="F24" s="0" t="n">
        <v>3</v>
      </c>
      <c r="G24" s="0" t="s">
        <v>221</v>
      </c>
      <c r="H24" s="0" t="n">
        <f aca="false">IF(SUMPRODUCT(--ISNUMBER(SEARCH(Keywords!B$3:B$7,$D24)))&gt;0,1,0)</f>
        <v>1</v>
      </c>
      <c r="I24" s="0" t="n">
        <f aca="false">IF(SUMPRODUCT(--ISNUMBER(SEARCH(Keywords!C$3:C$7,$D24)))&gt;0,1,0)</f>
        <v>0</v>
      </c>
      <c r="J24" s="0" t="n">
        <f aca="false">IF(SUMPRODUCT(--ISNUMBER(SEARCH(Keywords!D$3:D$7,$D24)))&gt;0,1,0)</f>
        <v>0</v>
      </c>
      <c r="K24" s="0" t="n">
        <f aca="false">IF(SUMPRODUCT(--ISNUMBER(SEARCH(Keywords!E$3:E$7,$D24)))&gt;0,1,0)</f>
        <v>0</v>
      </c>
      <c r="L24" s="0" t="n">
        <f aca="false">IF(SUMPRODUCT(--ISNUMBER(SEARCH(Keywords!F$3:F$7,$D24)))&gt;0,1,0)</f>
        <v>0</v>
      </c>
      <c r="M24" s="0" t="n">
        <f aca="false">IF(SUMPRODUCT(--ISNUMBER(SEARCH(Keywords!G$3:G$7,$D24)))&gt;0,1,0)</f>
        <v>0</v>
      </c>
      <c r="N24" s="0" t="n">
        <f aca="false">SUM(H24:M24)</f>
        <v>1</v>
      </c>
      <c r="O24" s="0" t="str">
        <f aca="false">IF(N24=0,"Other",INDEX($H$2:$M$2,MATCH(1,H24:M24,0)))</f>
        <v>Market data</v>
      </c>
    </row>
    <row r="25" customFormat="false" ht="15" hidden="false" customHeight="false" outlineLevel="0" collapsed="false">
      <c r="A25" s="0" t="s">
        <v>265</v>
      </c>
      <c r="B25" s="0" t="n">
        <v>2</v>
      </c>
      <c r="C25" s="0" t="s">
        <v>219</v>
      </c>
      <c r="D25" s="0" t="s">
        <v>266</v>
      </c>
      <c r="E25" s="0" t="n">
        <v>6</v>
      </c>
      <c r="F25" s="0" t="n">
        <v>3</v>
      </c>
      <c r="G25" s="0" t="s">
        <v>221</v>
      </c>
      <c r="H25" s="0" t="n">
        <f aca="false">IF(SUMPRODUCT(--ISNUMBER(SEARCH(Keywords!B$3:B$7,$D25)))&gt;0,1,0)</f>
        <v>0</v>
      </c>
      <c r="I25" s="0" t="n">
        <f aca="false">IF(SUMPRODUCT(--ISNUMBER(SEARCH(Keywords!C$3:C$7,$D25)))&gt;0,1,0)</f>
        <v>0</v>
      </c>
      <c r="J25" s="0" t="n">
        <f aca="false">IF(SUMPRODUCT(--ISNUMBER(SEARCH(Keywords!D$3:D$7,$D25)))&gt;0,1,0)</f>
        <v>0</v>
      </c>
      <c r="K25" s="0" t="n">
        <f aca="false">IF(SUMPRODUCT(--ISNUMBER(SEARCH(Keywords!E$3:E$7,$D25)))&gt;0,1,0)</f>
        <v>0</v>
      </c>
      <c r="L25" s="0" t="n">
        <f aca="false">IF(SUMPRODUCT(--ISNUMBER(SEARCH(Keywords!F$3:F$7,$D25)))&gt;0,1,0)</f>
        <v>0</v>
      </c>
      <c r="M25" s="0" t="n">
        <f aca="false">IF(SUMPRODUCT(--ISNUMBER(SEARCH(Keywords!G$3:G$7,$D25)))&gt;0,1,0)</f>
        <v>0</v>
      </c>
      <c r="N25" s="0" t="n">
        <f aca="false">SUM(H25:M25)</f>
        <v>0</v>
      </c>
      <c r="O25" s="0" t="str">
        <f aca="false">IF(N25=0,"Other",INDEX($H$2:$M$2,MATCH(1,H25:M25,0)))</f>
        <v>Other</v>
      </c>
    </row>
    <row r="26" customFormat="false" ht="15" hidden="false" customHeight="false" outlineLevel="0" collapsed="false">
      <c r="A26" s="0" t="s">
        <v>267</v>
      </c>
      <c r="B26" s="0" t="n">
        <v>2</v>
      </c>
      <c r="C26" s="0" t="s">
        <v>219</v>
      </c>
      <c r="D26" s="0" t="s">
        <v>268</v>
      </c>
      <c r="E26" s="0" t="n">
        <v>20</v>
      </c>
      <c r="F26" s="0" t="n">
        <v>3</v>
      </c>
      <c r="G26" s="0" t="s">
        <v>224</v>
      </c>
      <c r="H26" s="0" t="n">
        <f aca="false">IF(SUMPRODUCT(--ISNUMBER(SEARCH(Keywords!B$3:B$7,$D26)))&gt;0,1,0)</f>
        <v>0</v>
      </c>
      <c r="I26" s="0" t="n">
        <f aca="false">IF(SUMPRODUCT(--ISNUMBER(SEARCH(Keywords!C$3:C$7,$D26)))&gt;0,1,0)</f>
        <v>0</v>
      </c>
      <c r="J26" s="0" t="n">
        <f aca="false">IF(SUMPRODUCT(--ISNUMBER(SEARCH(Keywords!D$3:D$7,$D26)))&gt;0,1,0)</f>
        <v>1</v>
      </c>
      <c r="K26" s="0" t="n">
        <f aca="false">IF(SUMPRODUCT(--ISNUMBER(SEARCH(Keywords!E$3:E$7,$D26)))&gt;0,1,0)</f>
        <v>0</v>
      </c>
      <c r="L26" s="0" t="n">
        <f aca="false">IF(SUMPRODUCT(--ISNUMBER(SEARCH(Keywords!F$3:F$7,$D26)))&gt;0,1,0)</f>
        <v>0</v>
      </c>
      <c r="M26" s="0" t="n">
        <f aca="false">IF(SUMPRODUCT(--ISNUMBER(SEARCH(Keywords!G$3:G$7,$D26)))&gt;0,1,0)</f>
        <v>0</v>
      </c>
      <c r="N26" s="0" t="n">
        <f aca="false">SUM(H26:M26)</f>
        <v>1</v>
      </c>
      <c r="O26" s="0" t="str">
        <f aca="false">IF(N26=0,"Other",INDEX($H$2:$M$2,MATCH(1,H26:M26,0)))</f>
        <v>Closure or limit reason</v>
      </c>
    </row>
    <row r="27" customFormat="false" ht="15" hidden="false" customHeight="false" outlineLevel="0" collapsed="false">
      <c r="A27" s="0" t="s">
        <v>269</v>
      </c>
      <c r="B27" s="0" t="n">
        <v>2</v>
      </c>
      <c r="C27" s="0" t="s">
        <v>230</v>
      </c>
      <c r="D27" s="0" t="s">
        <v>270</v>
      </c>
      <c r="E27" s="0" t="n">
        <v>15</v>
      </c>
      <c r="F27" s="0" t="n">
        <v>4</v>
      </c>
      <c r="G27" s="0" t="s">
        <v>221</v>
      </c>
      <c r="H27" s="0" t="n">
        <f aca="false">IF(SUMPRODUCT(--ISNUMBER(SEARCH(Keywords!B$3:B$7,$D27)))&gt;0,1,0)</f>
        <v>0</v>
      </c>
      <c r="I27" s="0" t="n">
        <f aca="false">IF(SUMPRODUCT(--ISNUMBER(SEARCH(Keywords!C$3:C$7,$D27)))&gt;0,1,0)</f>
        <v>1</v>
      </c>
      <c r="J27" s="0" t="n">
        <f aca="false">IF(SUMPRODUCT(--ISNUMBER(SEARCH(Keywords!D$3:D$7,$D27)))&gt;0,1,0)</f>
        <v>0</v>
      </c>
      <c r="K27" s="0" t="n">
        <f aca="false">IF(SUMPRODUCT(--ISNUMBER(SEARCH(Keywords!E$3:E$7,$D27)))&gt;0,1,0)</f>
        <v>0</v>
      </c>
      <c r="L27" s="0" t="n">
        <f aca="false">IF(SUMPRODUCT(--ISNUMBER(SEARCH(Keywords!F$3:F$7,$D27)))&gt;0,1,0)</f>
        <v>0</v>
      </c>
      <c r="M27" s="0" t="n">
        <f aca="false">IF(SUMPRODUCT(--ISNUMBER(SEARCH(Keywords!G$3:G$7,$D27)))&gt;0,1,0)</f>
        <v>0</v>
      </c>
      <c r="N27" s="0" t="n">
        <f aca="false">SUM(H27:M27)</f>
        <v>1</v>
      </c>
      <c r="O27" s="0" t="str">
        <f aca="false">IF(N27=0,"Other",INDEX($H$2:$M$2,MATCH(1,H27:M27,0)))</f>
        <v>Account status</v>
      </c>
    </row>
    <row r="28" customFormat="false" ht="15" hidden="false" customHeight="false" outlineLevel="0" collapsed="false">
      <c r="A28" s="0" t="s">
        <v>271</v>
      </c>
      <c r="B28" s="0" t="n">
        <v>2</v>
      </c>
      <c r="C28" s="0" t="s">
        <v>219</v>
      </c>
      <c r="D28" s="0" t="s">
        <v>272</v>
      </c>
      <c r="E28" s="0" t="n">
        <v>11</v>
      </c>
      <c r="F28" s="0" t="n">
        <v>4</v>
      </c>
      <c r="G28" s="0" t="s">
        <v>221</v>
      </c>
      <c r="H28" s="0" t="n">
        <f aca="false">IF(SUMPRODUCT(--ISNUMBER(SEARCH(Keywords!B$3:B$7,$D28)))&gt;0,1,0)</f>
        <v>0</v>
      </c>
      <c r="I28" s="0" t="n">
        <f aca="false">IF(SUMPRODUCT(--ISNUMBER(SEARCH(Keywords!C$3:C$7,$D28)))&gt;0,1,0)</f>
        <v>0</v>
      </c>
      <c r="J28" s="0" t="n">
        <f aca="false">IF(SUMPRODUCT(--ISNUMBER(SEARCH(Keywords!D$3:D$7,$D28)))&gt;0,1,0)</f>
        <v>0</v>
      </c>
      <c r="K28" s="0" t="n">
        <f aca="false">IF(SUMPRODUCT(--ISNUMBER(SEARCH(Keywords!E$3:E$7,$D28)))&gt;0,1,0)</f>
        <v>1</v>
      </c>
      <c r="L28" s="0" t="n">
        <f aca="false">IF(SUMPRODUCT(--ISNUMBER(SEARCH(Keywords!F$3:F$7,$D28)))&gt;0,1,0)</f>
        <v>0</v>
      </c>
      <c r="M28" s="0" t="n">
        <f aca="false">IF(SUMPRODUCT(--ISNUMBER(SEARCH(Keywords!G$3:G$7,$D28)))&gt;0,1,0)</f>
        <v>0</v>
      </c>
      <c r="N28" s="0" t="n">
        <f aca="false">SUM(H28:M28)</f>
        <v>1</v>
      </c>
      <c r="O28" s="0" t="str">
        <f aca="false">IF(N28=0,"Other",INDEX($H$2:$M$2,MATCH(1,H28:M28,0)))</f>
        <v>Payout or review</v>
      </c>
    </row>
    <row r="29" customFormat="false" ht="15" hidden="false" customHeight="false" outlineLevel="0" collapsed="false">
      <c r="A29" s="0" t="s">
        <v>273</v>
      </c>
      <c r="B29" s="0" t="n">
        <v>2</v>
      </c>
      <c r="C29" s="0" t="s">
        <v>219</v>
      </c>
      <c r="D29" s="0" t="s">
        <v>274</v>
      </c>
      <c r="E29" s="0" t="n">
        <v>5</v>
      </c>
      <c r="F29" s="0" t="n">
        <v>2</v>
      </c>
      <c r="G29" s="0" t="s">
        <v>221</v>
      </c>
      <c r="H29" s="0" t="n">
        <f aca="false">IF(SUMPRODUCT(--ISNUMBER(SEARCH(Keywords!B$3:B$7,$D29)))&gt;0,1,0)</f>
        <v>0</v>
      </c>
      <c r="I29" s="0" t="n">
        <f aca="false">IF(SUMPRODUCT(--ISNUMBER(SEARCH(Keywords!C$3:C$7,$D29)))&gt;0,1,0)</f>
        <v>0</v>
      </c>
      <c r="J29" s="0" t="n">
        <f aca="false">IF(SUMPRODUCT(--ISNUMBER(SEARCH(Keywords!D$3:D$7,$D29)))&gt;0,1,0)</f>
        <v>1</v>
      </c>
      <c r="K29" s="0" t="n">
        <f aca="false">IF(SUMPRODUCT(--ISNUMBER(SEARCH(Keywords!E$3:E$7,$D29)))&gt;0,1,0)</f>
        <v>0</v>
      </c>
      <c r="L29" s="0" t="n">
        <f aca="false">IF(SUMPRODUCT(--ISNUMBER(SEARCH(Keywords!F$3:F$7,$D29)))&gt;0,1,0)</f>
        <v>0</v>
      </c>
      <c r="M29" s="0" t="n">
        <f aca="false">IF(SUMPRODUCT(--ISNUMBER(SEARCH(Keywords!G$3:G$7,$D29)))&gt;0,1,0)</f>
        <v>0</v>
      </c>
      <c r="N29" s="0" t="n">
        <f aca="false">SUM(H29:M29)</f>
        <v>1</v>
      </c>
      <c r="O29" s="0" t="str">
        <f aca="false">IF(N29=0,"Other",INDEX($H$2:$M$2,MATCH(1,H29:M29,0)))</f>
        <v>Closure or limit reason</v>
      </c>
    </row>
    <row r="30" customFormat="false" ht="15" hidden="false" customHeight="false" outlineLevel="0" collapsed="false">
      <c r="A30" s="0" t="s">
        <v>275</v>
      </c>
      <c r="B30" s="0" t="n">
        <v>2</v>
      </c>
      <c r="C30" s="0" t="s">
        <v>230</v>
      </c>
      <c r="D30" s="0" t="s">
        <v>276</v>
      </c>
      <c r="E30" s="0" t="n">
        <v>9</v>
      </c>
      <c r="F30" s="0" t="n">
        <v>3</v>
      </c>
      <c r="G30" s="0" t="s">
        <v>221</v>
      </c>
      <c r="H30" s="0" t="n">
        <f aca="false">IF(SUMPRODUCT(--ISNUMBER(SEARCH(Keywords!B$3:B$7,$D30)))&gt;0,1,0)</f>
        <v>1</v>
      </c>
      <c r="I30" s="0" t="n">
        <f aca="false">IF(SUMPRODUCT(--ISNUMBER(SEARCH(Keywords!C$3:C$7,$D30)))&gt;0,1,0)</f>
        <v>0</v>
      </c>
      <c r="J30" s="0" t="n">
        <f aca="false">IF(SUMPRODUCT(--ISNUMBER(SEARCH(Keywords!D$3:D$7,$D30)))&gt;0,1,0)</f>
        <v>0</v>
      </c>
      <c r="K30" s="0" t="n">
        <f aca="false">IF(SUMPRODUCT(--ISNUMBER(SEARCH(Keywords!E$3:E$7,$D30)))&gt;0,1,0)</f>
        <v>0</v>
      </c>
      <c r="L30" s="0" t="n">
        <f aca="false">IF(SUMPRODUCT(--ISNUMBER(SEARCH(Keywords!F$3:F$7,$D30)))&gt;0,1,0)</f>
        <v>0</v>
      </c>
      <c r="M30" s="0" t="n">
        <f aca="false">IF(SUMPRODUCT(--ISNUMBER(SEARCH(Keywords!G$3:G$7,$D30)))&gt;0,1,0)</f>
        <v>0</v>
      </c>
      <c r="N30" s="0" t="n">
        <f aca="false">SUM(H30:M30)</f>
        <v>1</v>
      </c>
      <c r="O30" s="0" t="str">
        <f aca="false">IF(N30=0,"Other",INDEX($H$2:$M$2,MATCH(1,H30:M30,0)))</f>
        <v>Market data</v>
      </c>
    </row>
    <row r="31" customFormat="false" ht="15" hidden="false" customHeight="false" outlineLevel="0" collapsed="false">
      <c r="A31" s="0" t="s">
        <v>277</v>
      </c>
      <c r="B31" s="0" t="n">
        <v>2</v>
      </c>
      <c r="C31" s="0" t="s">
        <v>219</v>
      </c>
      <c r="D31" s="0" t="s">
        <v>278</v>
      </c>
      <c r="E31" s="0" t="n">
        <v>4</v>
      </c>
      <c r="F31" s="0" t="n">
        <v>5</v>
      </c>
      <c r="G31" s="0" t="s">
        <v>221</v>
      </c>
      <c r="H31" s="0" t="n">
        <f aca="false">IF(SUMPRODUCT(--ISNUMBER(SEARCH(Keywords!B$3:B$7,$D31)))&gt;0,1,0)</f>
        <v>0</v>
      </c>
      <c r="I31" s="0" t="n">
        <f aca="false">IF(SUMPRODUCT(--ISNUMBER(SEARCH(Keywords!C$3:C$7,$D31)))&gt;0,1,0)</f>
        <v>0</v>
      </c>
      <c r="J31" s="0" t="n">
        <f aca="false">IF(SUMPRODUCT(--ISNUMBER(SEARCH(Keywords!D$3:D$7,$D31)))&gt;0,1,0)</f>
        <v>0</v>
      </c>
      <c r="K31" s="0" t="n">
        <f aca="false">IF(SUMPRODUCT(--ISNUMBER(SEARCH(Keywords!E$3:E$7,$D31)))&gt;0,1,0)</f>
        <v>0</v>
      </c>
      <c r="L31" s="0" t="n">
        <f aca="false">IF(SUMPRODUCT(--ISNUMBER(SEARCH(Keywords!F$3:F$7,$D31)))&gt;0,1,0)</f>
        <v>0</v>
      </c>
      <c r="M31" s="0" t="n">
        <f aca="false">IF(SUMPRODUCT(--ISNUMBER(SEARCH(Keywords!G$3:G$7,$D31)))&gt;0,1,0)</f>
        <v>0</v>
      </c>
      <c r="N31" s="0" t="n">
        <f aca="false">SUM(H31:M31)</f>
        <v>0</v>
      </c>
      <c r="O31" s="0" t="str">
        <f aca="false">IF(N31=0,"Other",INDEX($H$2:$M$2,MATCH(1,H31:M31,0)))</f>
        <v>Other</v>
      </c>
    </row>
    <row r="32" customFormat="false" ht="15" hidden="false" customHeight="false" outlineLevel="0" collapsed="false">
      <c r="A32" s="0" t="s">
        <v>279</v>
      </c>
      <c r="B32" s="0" t="n">
        <v>2</v>
      </c>
      <c r="C32" s="0" t="s">
        <v>219</v>
      </c>
      <c r="D32" s="0" t="s">
        <v>280</v>
      </c>
      <c r="E32" s="0" t="n">
        <v>17</v>
      </c>
      <c r="F32" s="0" t="n">
        <v>4</v>
      </c>
      <c r="G32" s="0" t="s">
        <v>221</v>
      </c>
      <c r="H32" s="0" t="n">
        <f aca="false">IF(SUMPRODUCT(--ISNUMBER(SEARCH(Keywords!B$3:B$7,$D32)))&gt;0,1,0)</f>
        <v>0</v>
      </c>
      <c r="I32" s="0" t="n">
        <f aca="false">IF(SUMPRODUCT(--ISNUMBER(SEARCH(Keywords!C$3:C$7,$D32)))&gt;0,1,0)</f>
        <v>0</v>
      </c>
      <c r="J32" s="0" t="n">
        <f aca="false">IF(SUMPRODUCT(--ISNUMBER(SEARCH(Keywords!D$3:D$7,$D32)))&gt;0,1,0)</f>
        <v>0</v>
      </c>
      <c r="K32" s="0" t="n">
        <f aca="false">IF(SUMPRODUCT(--ISNUMBER(SEARCH(Keywords!E$3:E$7,$D32)))&gt;0,1,0)</f>
        <v>1</v>
      </c>
      <c r="L32" s="0" t="n">
        <f aca="false">IF(SUMPRODUCT(--ISNUMBER(SEARCH(Keywords!F$3:F$7,$D32)))&gt;0,1,0)</f>
        <v>0</v>
      </c>
      <c r="M32" s="0" t="n">
        <f aca="false">IF(SUMPRODUCT(--ISNUMBER(SEARCH(Keywords!G$3:G$7,$D32)))&gt;0,1,0)</f>
        <v>0</v>
      </c>
      <c r="N32" s="0" t="n">
        <f aca="false">SUM(H32:M32)</f>
        <v>1</v>
      </c>
      <c r="O32" s="0" t="str">
        <f aca="false">IF(N32=0,"Other",INDEX($H$2:$M$2,MATCH(1,H32:M32,0)))</f>
        <v>Payout or review</v>
      </c>
    </row>
    <row r="33" customFormat="false" ht="15" hidden="false" customHeight="false" outlineLevel="0" collapsed="false">
      <c r="A33" s="0" t="s">
        <v>281</v>
      </c>
      <c r="B33" s="0" t="n">
        <v>2</v>
      </c>
      <c r="C33" s="0" t="s">
        <v>230</v>
      </c>
      <c r="D33" s="0" t="s">
        <v>282</v>
      </c>
      <c r="E33" s="0" t="n">
        <v>10</v>
      </c>
      <c r="F33" s="0" t="n">
        <v>4</v>
      </c>
      <c r="G33" s="0" t="s">
        <v>221</v>
      </c>
      <c r="H33" s="0" t="n">
        <f aca="false">IF(SUMPRODUCT(--ISNUMBER(SEARCH(Keywords!B$3:B$7,$D33)))&gt;0,1,0)</f>
        <v>0</v>
      </c>
      <c r="I33" s="0" t="n">
        <f aca="false">IF(SUMPRODUCT(--ISNUMBER(SEARCH(Keywords!C$3:C$7,$D33)))&gt;0,1,0)</f>
        <v>0</v>
      </c>
      <c r="J33" s="0" t="n">
        <f aca="false">IF(SUMPRODUCT(--ISNUMBER(SEARCH(Keywords!D$3:D$7,$D33)))&gt;0,1,0)</f>
        <v>0</v>
      </c>
      <c r="K33" s="0" t="n">
        <f aca="false">IF(SUMPRODUCT(--ISNUMBER(SEARCH(Keywords!E$3:E$7,$D33)))&gt;0,1,0)</f>
        <v>1</v>
      </c>
      <c r="L33" s="0" t="n">
        <f aca="false">IF(SUMPRODUCT(--ISNUMBER(SEARCH(Keywords!F$3:F$7,$D33)))&gt;0,1,0)</f>
        <v>0</v>
      </c>
      <c r="M33" s="0" t="n">
        <f aca="false">IF(SUMPRODUCT(--ISNUMBER(SEARCH(Keywords!G$3:G$7,$D33)))&gt;0,1,0)</f>
        <v>0</v>
      </c>
      <c r="N33" s="0" t="n">
        <f aca="false">SUM(H33:M33)</f>
        <v>1</v>
      </c>
      <c r="O33" s="0" t="str">
        <f aca="false">IF(N33=0,"Other",INDEX($H$2:$M$2,MATCH(1,H33:M33,0)))</f>
        <v>Payout or review</v>
      </c>
    </row>
    <row r="34" customFormat="false" ht="15" hidden="false" customHeight="false" outlineLevel="0" collapsed="false">
      <c r="A34" s="0" t="s">
        <v>283</v>
      </c>
      <c r="B34" s="0" t="n">
        <v>2</v>
      </c>
      <c r="C34" s="0" t="s">
        <v>219</v>
      </c>
      <c r="D34" s="0" t="s">
        <v>284</v>
      </c>
      <c r="E34" s="0" t="n">
        <v>7</v>
      </c>
      <c r="F34" s="0" t="n">
        <v>3</v>
      </c>
      <c r="G34" s="0" t="s">
        <v>224</v>
      </c>
      <c r="H34" s="0" t="n">
        <f aca="false">IF(SUMPRODUCT(--ISNUMBER(SEARCH(Keywords!B$3:B$7,$D34)))&gt;0,1,0)</f>
        <v>0</v>
      </c>
      <c r="I34" s="0" t="n">
        <f aca="false">IF(SUMPRODUCT(--ISNUMBER(SEARCH(Keywords!C$3:C$7,$D34)))&gt;0,1,0)</f>
        <v>0</v>
      </c>
      <c r="J34" s="0" t="n">
        <f aca="false">IF(SUMPRODUCT(--ISNUMBER(SEARCH(Keywords!D$3:D$7,$D34)))&gt;0,1,0)</f>
        <v>0</v>
      </c>
      <c r="K34" s="0" t="n">
        <f aca="false">IF(SUMPRODUCT(--ISNUMBER(SEARCH(Keywords!E$3:E$7,$D34)))&gt;0,1,0)</f>
        <v>0</v>
      </c>
      <c r="L34" s="0" t="n">
        <f aca="false">IF(SUMPRODUCT(--ISNUMBER(SEARCH(Keywords!F$3:F$7,$D34)))&gt;0,1,0)</f>
        <v>1</v>
      </c>
      <c r="M34" s="0" t="n">
        <f aca="false">IF(SUMPRODUCT(--ISNUMBER(SEARCH(Keywords!G$3:G$7,$D34)))&gt;0,1,0)</f>
        <v>0</v>
      </c>
      <c r="N34" s="0" t="n">
        <f aca="false">SUM(H34:M34)</f>
        <v>1</v>
      </c>
      <c r="O34" s="0" t="str">
        <f aca="false">IF(N34=0,"Other",INDEX($H$2:$M$2,MATCH(1,H34:M34,0)))</f>
        <v>Sign-in or verification</v>
      </c>
    </row>
    <row r="35" customFormat="false" ht="15" hidden="false" customHeight="false" outlineLevel="0" collapsed="false">
      <c r="A35" s="0" t="s">
        <v>285</v>
      </c>
      <c r="B35" s="0" t="n">
        <v>2</v>
      </c>
      <c r="C35" s="0" t="s">
        <v>230</v>
      </c>
      <c r="D35" s="0" t="s">
        <v>286</v>
      </c>
      <c r="E35" s="0" t="n">
        <v>10</v>
      </c>
      <c r="F35" s="0" t="n">
        <v>4</v>
      </c>
      <c r="G35" s="0" t="s">
        <v>221</v>
      </c>
      <c r="H35" s="0" t="n">
        <f aca="false">IF(SUMPRODUCT(--ISNUMBER(SEARCH(Keywords!B$3:B$7,$D35)))&gt;0,1,0)</f>
        <v>0</v>
      </c>
      <c r="I35" s="0" t="n">
        <f aca="false">IF(SUMPRODUCT(--ISNUMBER(SEARCH(Keywords!C$3:C$7,$D35)))&gt;0,1,0)</f>
        <v>0</v>
      </c>
      <c r="J35" s="0" t="n">
        <f aca="false">IF(SUMPRODUCT(--ISNUMBER(SEARCH(Keywords!D$3:D$7,$D35)))&gt;0,1,0)</f>
        <v>0</v>
      </c>
      <c r="K35" s="0" t="n">
        <f aca="false">IF(SUMPRODUCT(--ISNUMBER(SEARCH(Keywords!E$3:E$7,$D35)))&gt;0,1,0)</f>
        <v>0</v>
      </c>
      <c r="L35" s="0" t="n">
        <f aca="false">IF(SUMPRODUCT(--ISNUMBER(SEARCH(Keywords!F$3:F$7,$D35)))&gt;0,1,0)</f>
        <v>1</v>
      </c>
      <c r="M35" s="0" t="n">
        <f aca="false">IF(SUMPRODUCT(--ISNUMBER(SEARCH(Keywords!G$3:G$7,$D35)))&gt;0,1,0)</f>
        <v>0</v>
      </c>
      <c r="N35" s="0" t="n">
        <f aca="false">SUM(H35:M35)</f>
        <v>1</v>
      </c>
      <c r="O35" s="0" t="str">
        <f aca="false">IF(N35=0,"Other",INDEX($H$2:$M$2,MATCH(1,H35:M35,0)))</f>
        <v>Sign-in or verification</v>
      </c>
    </row>
    <row r="36" customFormat="false" ht="15" hidden="false" customHeight="false" outlineLevel="0" collapsed="false">
      <c r="A36" s="0" t="s">
        <v>287</v>
      </c>
      <c r="B36" s="0" t="n">
        <v>2</v>
      </c>
      <c r="C36" s="0" t="s">
        <v>219</v>
      </c>
      <c r="D36" s="0" t="s">
        <v>288</v>
      </c>
      <c r="E36" s="0" t="n">
        <v>13</v>
      </c>
      <c r="F36" s="0" t="n">
        <v>4</v>
      </c>
      <c r="G36" s="0" t="s">
        <v>221</v>
      </c>
      <c r="H36" s="0" t="n">
        <f aca="false">IF(SUMPRODUCT(--ISNUMBER(SEARCH(Keywords!B$3:B$7,$D36)))&gt;0,1,0)</f>
        <v>0</v>
      </c>
      <c r="I36" s="0" t="n">
        <f aca="false">IF(SUMPRODUCT(--ISNUMBER(SEARCH(Keywords!C$3:C$7,$D36)))&gt;0,1,0)</f>
        <v>1</v>
      </c>
      <c r="J36" s="0" t="n">
        <f aca="false">IF(SUMPRODUCT(--ISNUMBER(SEARCH(Keywords!D$3:D$7,$D36)))&gt;0,1,0)</f>
        <v>0</v>
      </c>
      <c r="K36" s="0" t="n">
        <f aca="false">IF(SUMPRODUCT(--ISNUMBER(SEARCH(Keywords!E$3:E$7,$D36)))&gt;0,1,0)</f>
        <v>0</v>
      </c>
      <c r="L36" s="0" t="n">
        <f aca="false">IF(SUMPRODUCT(--ISNUMBER(SEARCH(Keywords!F$3:F$7,$D36)))&gt;0,1,0)</f>
        <v>0</v>
      </c>
      <c r="M36" s="0" t="n">
        <f aca="false">IF(SUMPRODUCT(--ISNUMBER(SEARCH(Keywords!G$3:G$7,$D36)))&gt;0,1,0)</f>
        <v>0</v>
      </c>
      <c r="N36" s="0" t="n">
        <f aca="false">SUM(H36:M36)</f>
        <v>1</v>
      </c>
      <c r="O36" s="0" t="str">
        <f aca="false">IF(N36=0,"Other",INDEX($H$2:$M$2,MATCH(1,H36:M36,0)))</f>
        <v>Account status</v>
      </c>
    </row>
    <row r="37" customFormat="false" ht="15" hidden="false" customHeight="false" outlineLevel="0" collapsed="false">
      <c r="A37" s="0" t="s">
        <v>289</v>
      </c>
      <c r="B37" s="0" t="n">
        <v>2</v>
      </c>
      <c r="C37" s="0" t="s">
        <v>230</v>
      </c>
      <c r="D37" s="0" t="s">
        <v>237</v>
      </c>
      <c r="E37" s="0" t="n">
        <v>14</v>
      </c>
      <c r="F37" s="0" t="n">
        <v>3</v>
      </c>
      <c r="G37" s="0" t="s">
        <v>221</v>
      </c>
      <c r="H37" s="0" t="n">
        <f aca="false">IF(SUMPRODUCT(--ISNUMBER(SEARCH(Keywords!B$3:B$7,$D37)))&gt;0,1,0)</f>
        <v>0</v>
      </c>
      <c r="I37" s="0" t="n">
        <f aca="false">IF(SUMPRODUCT(--ISNUMBER(SEARCH(Keywords!C$3:C$7,$D37)))&gt;0,1,0)</f>
        <v>1</v>
      </c>
      <c r="J37" s="0" t="n">
        <f aca="false">IF(SUMPRODUCT(--ISNUMBER(SEARCH(Keywords!D$3:D$7,$D37)))&gt;0,1,0)</f>
        <v>0</v>
      </c>
      <c r="K37" s="0" t="n">
        <f aca="false">IF(SUMPRODUCT(--ISNUMBER(SEARCH(Keywords!E$3:E$7,$D37)))&gt;0,1,0)</f>
        <v>0</v>
      </c>
      <c r="L37" s="0" t="n">
        <f aca="false">IF(SUMPRODUCT(--ISNUMBER(SEARCH(Keywords!F$3:F$7,$D37)))&gt;0,1,0)</f>
        <v>0</v>
      </c>
      <c r="M37" s="0" t="n">
        <f aca="false">IF(SUMPRODUCT(--ISNUMBER(SEARCH(Keywords!G$3:G$7,$D37)))&gt;0,1,0)</f>
        <v>0</v>
      </c>
      <c r="N37" s="0" t="n">
        <f aca="false">SUM(H37:M37)</f>
        <v>1</v>
      </c>
      <c r="O37" s="0" t="str">
        <f aca="false">IF(N37=0,"Other",INDEX($H$2:$M$2,MATCH(1,H37:M37,0)))</f>
        <v>Account status</v>
      </c>
    </row>
    <row r="38" customFormat="false" ht="15" hidden="false" customHeight="false" outlineLevel="0" collapsed="false">
      <c r="A38" s="0" t="s">
        <v>290</v>
      </c>
      <c r="B38" s="0" t="n">
        <v>3</v>
      </c>
      <c r="C38" s="0" t="s">
        <v>219</v>
      </c>
      <c r="D38" s="0" t="s">
        <v>291</v>
      </c>
      <c r="E38" s="0" t="n">
        <v>16</v>
      </c>
      <c r="F38" s="0" t="n">
        <v>4</v>
      </c>
      <c r="G38" s="0" t="s">
        <v>221</v>
      </c>
      <c r="H38" s="0" t="n">
        <f aca="false">IF(SUMPRODUCT(--ISNUMBER(SEARCH(Keywords!B$3:B$7,$D38)))&gt;0,1,0)</f>
        <v>1</v>
      </c>
      <c r="I38" s="0" t="n">
        <f aca="false">IF(SUMPRODUCT(--ISNUMBER(SEARCH(Keywords!C$3:C$7,$D38)))&gt;0,1,0)</f>
        <v>0</v>
      </c>
      <c r="J38" s="0" t="n">
        <f aca="false">IF(SUMPRODUCT(--ISNUMBER(SEARCH(Keywords!D$3:D$7,$D38)))&gt;0,1,0)</f>
        <v>0</v>
      </c>
      <c r="K38" s="0" t="n">
        <f aca="false">IF(SUMPRODUCT(--ISNUMBER(SEARCH(Keywords!E$3:E$7,$D38)))&gt;0,1,0)</f>
        <v>0</v>
      </c>
      <c r="L38" s="0" t="n">
        <f aca="false">IF(SUMPRODUCT(--ISNUMBER(SEARCH(Keywords!F$3:F$7,$D38)))&gt;0,1,0)</f>
        <v>0</v>
      </c>
      <c r="M38" s="0" t="n">
        <f aca="false">IF(SUMPRODUCT(--ISNUMBER(SEARCH(Keywords!G$3:G$7,$D38)))&gt;0,1,0)</f>
        <v>0</v>
      </c>
      <c r="N38" s="0" t="n">
        <f aca="false">SUM(H38:M38)</f>
        <v>1</v>
      </c>
      <c r="O38" s="0" t="str">
        <f aca="false">IF(N38=0,"Other",INDEX($H$2:$M$2,MATCH(1,H38:M38,0)))</f>
        <v>Market data</v>
      </c>
    </row>
    <row r="39" customFormat="false" ht="15" hidden="false" customHeight="false" outlineLevel="0" collapsed="false">
      <c r="A39" s="0" t="s">
        <v>292</v>
      </c>
      <c r="B39" s="0" t="n">
        <v>3</v>
      </c>
      <c r="C39" s="0" t="s">
        <v>230</v>
      </c>
      <c r="D39" s="0" t="s">
        <v>293</v>
      </c>
      <c r="E39" s="0" t="n">
        <v>26</v>
      </c>
      <c r="F39" s="0" t="n">
        <v>3</v>
      </c>
      <c r="G39" s="0" t="s">
        <v>221</v>
      </c>
      <c r="H39" s="0" t="n">
        <f aca="false">IF(SUMPRODUCT(--ISNUMBER(SEARCH(Keywords!B$3:B$7,$D39)))&gt;0,1,0)</f>
        <v>0</v>
      </c>
      <c r="I39" s="0" t="n">
        <f aca="false">IF(SUMPRODUCT(--ISNUMBER(SEARCH(Keywords!C$3:C$7,$D39)))&gt;0,1,0)</f>
        <v>0</v>
      </c>
      <c r="J39" s="0" t="n">
        <f aca="false">IF(SUMPRODUCT(--ISNUMBER(SEARCH(Keywords!D$3:D$7,$D39)))&gt;0,1,0)</f>
        <v>1</v>
      </c>
      <c r="K39" s="0" t="n">
        <f aca="false">IF(SUMPRODUCT(--ISNUMBER(SEARCH(Keywords!E$3:E$7,$D39)))&gt;0,1,0)</f>
        <v>0</v>
      </c>
      <c r="L39" s="0" t="n">
        <f aca="false">IF(SUMPRODUCT(--ISNUMBER(SEARCH(Keywords!F$3:F$7,$D39)))&gt;0,1,0)</f>
        <v>0</v>
      </c>
      <c r="M39" s="0" t="n">
        <f aca="false">IF(SUMPRODUCT(--ISNUMBER(SEARCH(Keywords!G$3:G$7,$D39)))&gt;0,1,0)</f>
        <v>0</v>
      </c>
      <c r="N39" s="0" t="n">
        <f aca="false">SUM(H39:M39)</f>
        <v>1</v>
      </c>
      <c r="O39" s="0" t="str">
        <f aca="false">IF(N39=0,"Other",INDEX($H$2:$M$2,MATCH(1,H39:M39,0)))</f>
        <v>Closure or limit reason</v>
      </c>
    </row>
    <row r="40" customFormat="false" ht="15" hidden="false" customHeight="false" outlineLevel="0" collapsed="false">
      <c r="A40" s="0" t="s">
        <v>294</v>
      </c>
      <c r="B40" s="0" t="n">
        <v>3</v>
      </c>
      <c r="C40" s="0" t="s">
        <v>219</v>
      </c>
      <c r="D40" s="0" t="s">
        <v>270</v>
      </c>
      <c r="E40" s="0" t="n">
        <v>12</v>
      </c>
      <c r="F40" s="0" t="n">
        <v>4</v>
      </c>
      <c r="G40" s="0" t="s">
        <v>221</v>
      </c>
      <c r="H40" s="0" t="n">
        <f aca="false">IF(SUMPRODUCT(--ISNUMBER(SEARCH(Keywords!B$3:B$7,$D40)))&gt;0,1,0)</f>
        <v>0</v>
      </c>
      <c r="I40" s="0" t="n">
        <f aca="false">IF(SUMPRODUCT(--ISNUMBER(SEARCH(Keywords!C$3:C$7,$D40)))&gt;0,1,0)</f>
        <v>1</v>
      </c>
      <c r="J40" s="0" t="n">
        <f aca="false">IF(SUMPRODUCT(--ISNUMBER(SEARCH(Keywords!D$3:D$7,$D40)))&gt;0,1,0)</f>
        <v>0</v>
      </c>
      <c r="K40" s="0" t="n">
        <f aca="false">IF(SUMPRODUCT(--ISNUMBER(SEARCH(Keywords!E$3:E$7,$D40)))&gt;0,1,0)</f>
        <v>0</v>
      </c>
      <c r="L40" s="0" t="n">
        <f aca="false">IF(SUMPRODUCT(--ISNUMBER(SEARCH(Keywords!F$3:F$7,$D40)))&gt;0,1,0)</f>
        <v>0</v>
      </c>
      <c r="M40" s="0" t="n">
        <f aca="false">IF(SUMPRODUCT(--ISNUMBER(SEARCH(Keywords!G$3:G$7,$D40)))&gt;0,1,0)</f>
        <v>0</v>
      </c>
      <c r="N40" s="0" t="n">
        <f aca="false">SUM(H40:M40)</f>
        <v>1</v>
      </c>
      <c r="O40" s="0" t="str">
        <f aca="false">IF(N40=0,"Other",INDEX($H$2:$M$2,MATCH(1,H40:M40,0)))</f>
        <v>Account status</v>
      </c>
    </row>
    <row r="41" customFormat="false" ht="15" hidden="false" customHeight="false" outlineLevel="0" collapsed="false">
      <c r="A41" s="0" t="s">
        <v>295</v>
      </c>
      <c r="B41" s="0" t="n">
        <v>3</v>
      </c>
      <c r="C41" s="0" t="s">
        <v>230</v>
      </c>
      <c r="D41" s="0" t="s">
        <v>249</v>
      </c>
      <c r="E41" s="0" t="n">
        <v>11</v>
      </c>
      <c r="F41" s="0" t="n">
        <v>5</v>
      </c>
      <c r="G41" s="0" t="s">
        <v>221</v>
      </c>
      <c r="H41" s="0" t="n">
        <f aca="false">IF(SUMPRODUCT(--ISNUMBER(SEARCH(Keywords!B$3:B$7,$D41)))&gt;0,1,0)</f>
        <v>0</v>
      </c>
      <c r="I41" s="0" t="n">
        <f aca="false">IF(SUMPRODUCT(--ISNUMBER(SEARCH(Keywords!C$3:C$7,$D41)))&gt;0,1,0)</f>
        <v>0</v>
      </c>
      <c r="J41" s="0" t="n">
        <f aca="false">IF(SUMPRODUCT(--ISNUMBER(SEARCH(Keywords!D$3:D$7,$D41)))&gt;0,1,0)</f>
        <v>0</v>
      </c>
      <c r="K41" s="0" t="n">
        <f aca="false">IF(SUMPRODUCT(--ISNUMBER(SEARCH(Keywords!E$3:E$7,$D41)))&gt;0,1,0)</f>
        <v>0</v>
      </c>
      <c r="L41" s="0" t="n">
        <f aca="false">IF(SUMPRODUCT(--ISNUMBER(SEARCH(Keywords!F$3:F$7,$D41)))&gt;0,1,0)</f>
        <v>1</v>
      </c>
      <c r="M41" s="0" t="n">
        <f aca="false">IF(SUMPRODUCT(--ISNUMBER(SEARCH(Keywords!G$3:G$7,$D41)))&gt;0,1,0)</f>
        <v>0</v>
      </c>
      <c r="N41" s="0" t="n">
        <f aca="false">SUM(H41:M41)</f>
        <v>1</v>
      </c>
      <c r="O41" s="0" t="str">
        <f aca="false">IF(N41=0,"Other",INDEX($H$2:$M$2,MATCH(1,H41:M41,0)))</f>
        <v>Sign-in or verification</v>
      </c>
    </row>
    <row r="42" customFormat="false" ht="15" hidden="false" customHeight="false" outlineLevel="0" collapsed="false">
      <c r="A42" s="0" t="s">
        <v>296</v>
      </c>
      <c r="B42" s="0" t="n">
        <v>3</v>
      </c>
      <c r="C42" s="0" t="s">
        <v>219</v>
      </c>
      <c r="D42" s="0" t="s">
        <v>297</v>
      </c>
      <c r="E42" s="0" t="n">
        <v>8</v>
      </c>
      <c r="F42" s="0" t="n">
        <v>2</v>
      </c>
      <c r="G42" s="0" t="s">
        <v>221</v>
      </c>
      <c r="H42" s="0" t="n">
        <f aca="false">IF(SUMPRODUCT(--ISNUMBER(SEARCH(Keywords!B$3:B$7,$D42)))&gt;0,1,0)</f>
        <v>0</v>
      </c>
      <c r="I42" s="0" t="n">
        <f aca="false">IF(SUMPRODUCT(--ISNUMBER(SEARCH(Keywords!C$3:C$7,$D42)))&gt;0,1,0)</f>
        <v>0</v>
      </c>
      <c r="J42" s="0" t="n">
        <f aca="false">IF(SUMPRODUCT(--ISNUMBER(SEARCH(Keywords!D$3:D$7,$D42)))&gt;0,1,0)</f>
        <v>0</v>
      </c>
      <c r="K42" s="0" t="n">
        <f aca="false">IF(SUMPRODUCT(--ISNUMBER(SEARCH(Keywords!E$3:E$7,$D42)))&gt;0,1,0)</f>
        <v>1</v>
      </c>
      <c r="L42" s="0" t="n">
        <f aca="false">IF(SUMPRODUCT(--ISNUMBER(SEARCH(Keywords!F$3:F$7,$D42)))&gt;0,1,0)</f>
        <v>0</v>
      </c>
      <c r="M42" s="0" t="n">
        <f aca="false">IF(SUMPRODUCT(--ISNUMBER(SEARCH(Keywords!G$3:G$7,$D42)))&gt;0,1,0)</f>
        <v>0</v>
      </c>
      <c r="N42" s="0" t="n">
        <f aca="false">SUM(H42:M42)</f>
        <v>1</v>
      </c>
      <c r="O42" s="0" t="str">
        <f aca="false">IF(N42=0,"Other",INDEX($H$2:$M$2,MATCH(1,H42:M42,0)))</f>
        <v>Payout or review</v>
      </c>
    </row>
    <row r="43" customFormat="false" ht="15" hidden="false" customHeight="false" outlineLevel="0" collapsed="false">
      <c r="A43" s="0" t="s">
        <v>298</v>
      </c>
      <c r="B43" s="0" t="n">
        <v>3</v>
      </c>
      <c r="C43" s="0" t="s">
        <v>230</v>
      </c>
      <c r="D43" s="0" t="s">
        <v>299</v>
      </c>
      <c r="E43" s="0" t="n">
        <v>11</v>
      </c>
      <c r="F43" s="0" t="n">
        <v>4</v>
      </c>
      <c r="G43" s="0" t="s">
        <v>221</v>
      </c>
      <c r="H43" s="0" t="n">
        <f aca="false">IF(SUMPRODUCT(--ISNUMBER(SEARCH(Keywords!B$3:B$7,$D43)))&gt;0,1,0)</f>
        <v>0</v>
      </c>
      <c r="I43" s="0" t="n">
        <f aca="false">IF(SUMPRODUCT(--ISNUMBER(SEARCH(Keywords!C$3:C$7,$D43)))&gt;0,1,0)</f>
        <v>0</v>
      </c>
      <c r="J43" s="0" t="n">
        <f aca="false">IF(SUMPRODUCT(--ISNUMBER(SEARCH(Keywords!D$3:D$7,$D43)))&gt;0,1,0)</f>
        <v>0</v>
      </c>
      <c r="K43" s="0" t="n">
        <f aca="false">IF(SUMPRODUCT(--ISNUMBER(SEARCH(Keywords!E$3:E$7,$D43)))&gt;0,1,0)</f>
        <v>0</v>
      </c>
      <c r="L43" s="0" t="n">
        <f aca="false">IF(SUMPRODUCT(--ISNUMBER(SEARCH(Keywords!F$3:F$7,$D43)))&gt;0,1,0)</f>
        <v>0</v>
      </c>
      <c r="M43" s="0" t="n">
        <f aca="false">IF(SUMPRODUCT(--ISNUMBER(SEARCH(Keywords!G$3:G$7,$D43)))&gt;0,1,0)</f>
        <v>0</v>
      </c>
      <c r="N43" s="0" t="n">
        <f aca="false">SUM(H43:M43)</f>
        <v>0</v>
      </c>
      <c r="O43" s="0" t="str">
        <f aca="false">IF(N43=0,"Other",INDEX($H$2:$M$2,MATCH(1,H43:M43,0)))</f>
        <v>Other</v>
      </c>
    </row>
    <row r="44" customFormat="false" ht="15" hidden="false" customHeight="false" outlineLevel="0" collapsed="false">
      <c r="A44" s="0" t="s">
        <v>300</v>
      </c>
      <c r="B44" s="0" t="n">
        <v>3</v>
      </c>
      <c r="C44" s="0" t="s">
        <v>230</v>
      </c>
      <c r="D44" s="0" t="s">
        <v>301</v>
      </c>
      <c r="E44" s="0" t="n">
        <v>19</v>
      </c>
      <c r="F44" s="0" t="n">
        <v>2</v>
      </c>
      <c r="G44" s="0" t="s">
        <v>221</v>
      </c>
      <c r="H44" s="0" t="n">
        <f aca="false">IF(SUMPRODUCT(--ISNUMBER(SEARCH(Keywords!B$3:B$7,$D44)))&gt;0,1,0)</f>
        <v>0</v>
      </c>
      <c r="I44" s="0" t="n">
        <f aca="false">IF(SUMPRODUCT(--ISNUMBER(SEARCH(Keywords!C$3:C$7,$D44)))&gt;0,1,0)</f>
        <v>0</v>
      </c>
      <c r="J44" s="0" t="n">
        <f aca="false">IF(SUMPRODUCT(--ISNUMBER(SEARCH(Keywords!D$3:D$7,$D44)))&gt;0,1,0)</f>
        <v>1</v>
      </c>
      <c r="K44" s="0" t="n">
        <f aca="false">IF(SUMPRODUCT(--ISNUMBER(SEARCH(Keywords!E$3:E$7,$D44)))&gt;0,1,0)</f>
        <v>0</v>
      </c>
      <c r="L44" s="0" t="n">
        <f aca="false">IF(SUMPRODUCT(--ISNUMBER(SEARCH(Keywords!F$3:F$7,$D44)))&gt;0,1,0)</f>
        <v>0</v>
      </c>
      <c r="M44" s="0" t="n">
        <f aca="false">IF(SUMPRODUCT(--ISNUMBER(SEARCH(Keywords!G$3:G$7,$D44)))&gt;0,1,0)</f>
        <v>0</v>
      </c>
      <c r="N44" s="0" t="n">
        <f aca="false">SUM(H44:M44)</f>
        <v>1</v>
      </c>
      <c r="O44" s="0" t="str">
        <f aca="false">IF(N44=0,"Other",INDEX($H$2:$M$2,MATCH(1,H44:M44,0)))</f>
        <v>Closure or limit reason</v>
      </c>
    </row>
    <row r="45" customFormat="false" ht="15" hidden="false" customHeight="false" outlineLevel="0" collapsed="false">
      <c r="A45" s="0" t="s">
        <v>302</v>
      </c>
      <c r="B45" s="0" t="n">
        <v>3</v>
      </c>
      <c r="C45" s="0" t="s">
        <v>230</v>
      </c>
      <c r="D45" s="0" t="s">
        <v>303</v>
      </c>
      <c r="E45" s="0" t="n">
        <v>9</v>
      </c>
      <c r="F45" s="0" t="n">
        <v>4</v>
      </c>
      <c r="G45" s="0" t="s">
        <v>221</v>
      </c>
      <c r="H45" s="0" t="n">
        <f aca="false">IF(SUMPRODUCT(--ISNUMBER(SEARCH(Keywords!B$3:B$7,$D45)))&gt;0,1,0)</f>
        <v>0</v>
      </c>
      <c r="I45" s="0" t="n">
        <f aca="false">IF(SUMPRODUCT(--ISNUMBER(SEARCH(Keywords!C$3:C$7,$D45)))&gt;0,1,0)</f>
        <v>0</v>
      </c>
      <c r="J45" s="0" t="n">
        <f aca="false">IF(SUMPRODUCT(--ISNUMBER(SEARCH(Keywords!D$3:D$7,$D45)))&gt;0,1,0)</f>
        <v>0</v>
      </c>
      <c r="K45" s="0" t="n">
        <f aca="false">IF(SUMPRODUCT(--ISNUMBER(SEARCH(Keywords!E$3:E$7,$D45)))&gt;0,1,0)</f>
        <v>0</v>
      </c>
      <c r="L45" s="0" t="n">
        <f aca="false">IF(SUMPRODUCT(--ISNUMBER(SEARCH(Keywords!F$3:F$7,$D45)))&gt;0,1,0)</f>
        <v>0</v>
      </c>
      <c r="M45" s="0" t="n">
        <f aca="false">IF(SUMPRODUCT(--ISNUMBER(SEARCH(Keywords!G$3:G$7,$D45)))&gt;0,1,0)</f>
        <v>1</v>
      </c>
      <c r="N45" s="0" t="n">
        <f aca="false">SUM(H45:M45)</f>
        <v>1</v>
      </c>
      <c r="O45" s="0" t="str">
        <f aca="false">IF(N45=0,"Other",INDEX($H$2:$M$2,MATCH(1,H45:M45,0)))</f>
        <v>Platform setup</v>
      </c>
    </row>
    <row r="46" customFormat="false" ht="15" hidden="false" customHeight="false" outlineLevel="0" collapsed="false">
      <c r="A46" s="0" t="s">
        <v>304</v>
      </c>
      <c r="B46" s="0" t="n">
        <v>3</v>
      </c>
      <c r="C46" s="0" t="s">
        <v>219</v>
      </c>
      <c r="D46" s="0" t="s">
        <v>305</v>
      </c>
      <c r="E46" s="0" t="n">
        <v>8</v>
      </c>
      <c r="F46" s="0" t="n">
        <v>4</v>
      </c>
      <c r="G46" s="0" t="s">
        <v>221</v>
      </c>
      <c r="H46" s="0" t="n">
        <f aca="false">IF(SUMPRODUCT(--ISNUMBER(SEARCH(Keywords!B$3:B$7,$D46)))&gt;0,1,0)</f>
        <v>0</v>
      </c>
      <c r="I46" s="0" t="n">
        <f aca="false">IF(SUMPRODUCT(--ISNUMBER(SEARCH(Keywords!C$3:C$7,$D46)))&gt;0,1,0)</f>
        <v>1</v>
      </c>
      <c r="J46" s="0" t="n">
        <f aca="false">IF(SUMPRODUCT(--ISNUMBER(SEARCH(Keywords!D$3:D$7,$D46)))&gt;0,1,0)</f>
        <v>0</v>
      </c>
      <c r="K46" s="0" t="n">
        <f aca="false">IF(SUMPRODUCT(--ISNUMBER(SEARCH(Keywords!E$3:E$7,$D46)))&gt;0,1,0)</f>
        <v>0</v>
      </c>
      <c r="L46" s="0" t="n">
        <f aca="false">IF(SUMPRODUCT(--ISNUMBER(SEARCH(Keywords!F$3:F$7,$D46)))&gt;0,1,0)</f>
        <v>0</v>
      </c>
      <c r="M46" s="0" t="n">
        <f aca="false">IF(SUMPRODUCT(--ISNUMBER(SEARCH(Keywords!G$3:G$7,$D46)))&gt;0,1,0)</f>
        <v>0</v>
      </c>
      <c r="N46" s="0" t="n">
        <f aca="false">SUM(H46:M46)</f>
        <v>1</v>
      </c>
      <c r="O46" s="0" t="str">
        <f aca="false">IF(N46=0,"Other",INDEX($H$2:$M$2,MATCH(1,H46:M46,0)))</f>
        <v>Account status</v>
      </c>
    </row>
    <row r="47" customFormat="false" ht="15" hidden="false" customHeight="false" outlineLevel="0" collapsed="false">
      <c r="A47" s="0" t="s">
        <v>306</v>
      </c>
      <c r="B47" s="0" t="n">
        <v>3</v>
      </c>
      <c r="C47" s="0" t="s">
        <v>230</v>
      </c>
      <c r="D47" s="0" t="s">
        <v>276</v>
      </c>
      <c r="E47" s="0" t="n">
        <v>17</v>
      </c>
      <c r="F47" s="0" t="n">
        <v>4</v>
      </c>
      <c r="G47" s="0" t="s">
        <v>224</v>
      </c>
      <c r="H47" s="0" t="n">
        <f aca="false">IF(SUMPRODUCT(--ISNUMBER(SEARCH(Keywords!B$3:B$7,$D47)))&gt;0,1,0)</f>
        <v>1</v>
      </c>
      <c r="I47" s="0" t="n">
        <f aca="false">IF(SUMPRODUCT(--ISNUMBER(SEARCH(Keywords!C$3:C$7,$D47)))&gt;0,1,0)</f>
        <v>0</v>
      </c>
      <c r="J47" s="0" t="n">
        <f aca="false">IF(SUMPRODUCT(--ISNUMBER(SEARCH(Keywords!D$3:D$7,$D47)))&gt;0,1,0)</f>
        <v>0</v>
      </c>
      <c r="K47" s="0" t="n">
        <f aca="false">IF(SUMPRODUCT(--ISNUMBER(SEARCH(Keywords!E$3:E$7,$D47)))&gt;0,1,0)</f>
        <v>0</v>
      </c>
      <c r="L47" s="0" t="n">
        <f aca="false">IF(SUMPRODUCT(--ISNUMBER(SEARCH(Keywords!F$3:F$7,$D47)))&gt;0,1,0)</f>
        <v>0</v>
      </c>
      <c r="M47" s="0" t="n">
        <f aca="false">IF(SUMPRODUCT(--ISNUMBER(SEARCH(Keywords!G$3:G$7,$D47)))&gt;0,1,0)</f>
        <v>0</v>
      </c>
      <c r="N47" s="0" t="n">
        <f aca="false">SUM(H47:M47)</f>
        <v>1</v>
      </c>
      <c r="O47" s="0" t="str">
        <f aca="false">IF(N47=0,"Other",INDEX($H$2:$M$2,MATCH(1,H47:M47,0)))</f>
        <v>Market data</v>
      </c>
    </row>
    <row r="48" customFormat="false" ht="15" hidden="false" customHeight="false" outlineLevel="0" collapsed="false">
      <c r="A48" s="0" t="s">
        <v>307</v>
      </c>
      <c r="B48" s="0" t="n">
        <v>3</v>
      </c>
      <c r="C48" s="0" t="s">
        <v>219</v>
      </c>
      <c r="D48" s="0" t="s">
        <v>308</v>
      </c>
      <c r="E48" s="0" t="n">
        <v>12</v>
      </c>
      <c r="F48" s="0" t="n">
        <v>4</v>
      </c>
      <c r="G48" s="0" t="s">
        <v>224</v>
      </c>
      <c r="H48" s="0" t="n">
        <f aca="false">IF(SUMPRODUCT(--ISNUMBER(SEARCH(Keywords!B$3:B$7,$D48)))&gt;0,1,0)</f>
        <v>0</v>
      </c>
      <c r="I48" s="0" t="n">
        <f aca="false">IF(SUMPRODUCT(--ISNUMBER(SEARCH(Keywords!C$3:C$7,$D48)))&gt;0,1,0)</f>
        <v>1</v>
      </c>
      <c r="J48" s="0" t="n">
        <f aca="false">IF(SUMPRODUCT(--ISNUMBER(SEARCH(Keywords!D$3:D$7,$D48)))&gt;0,1,0)</f>
        <v>0</v>
      </c>
      <c r="K48" s="0" t="n">
        <f aca="false">IF(SUMPRODUCT(--ISNUMBER(SEARCH(Keywords!E$3:E$7,$D48)))&gt;0,1,0)</f>
        <v>0</v>
      </c>
      <c r="L48" s="0" t="n">
        <f aca="false">IF(SUMPRODUCT(--ISNUMBER(SEARCH(Keywords!F$3:F$7,$D48)))&gt;0,1,0)</f>
        <v>0</v>
      </c>
      <c r="M48" s="0" t="n">
        <f aca="false">IF(SUMPRODUCT(--ISNUMBER(SEARCH(Keywords!G$3:G$7,$D48)))&gt;0,1,0)</f>
        <v>0</v>
      </c>
      <c r="N48" s="0" t="n">
        <f aca="false">SUM(H48:M48)</f>
        <v>1</v>
      </c>
      <c r="O48" s="0" t="str">
        <f aca="false">IF(N48=0,"Other",INDEX($H$2:$M$2,MATCH(1,H48:M48,0)))</f>
        <v>Account status</v>
      </c>
    </row>
    <row r="49" customFormat="false" ht="15" hidden="false" customHeight="false" outlineLevel="0" collapsed="false">
      <c r="A49" s="0" t="s">
        <v>309</v>
      </c>
      <c r="B49" s="0" t="n">
        <v>3</v>
      </c>
      <c r="C49" s="0" t="s">
        <v>219</v>
      </c>
      <c r="D49" s="0" t="s">
        <v>310</v>
      </c>
      <c r="E49" s="0" t="n">
        <v>14</v>
      </c>
      <c r="F49" s="0" t="n">
        <v>5</v>
      </c>
      <c r="G49" s="0" t="s">
        <v>221</v>
      </c>
      <c r="H49" s="0" t="n">
        <f aca="false">IF(SUMPRODUCT(--ISNUMBER(SEARCH(Keywords!B$3:B$7,$D49)))&gt;0,1,0)</f>
        <v>0</v>
      </c>
      <c r="I49" s="0" t="n">
        <f aca="false">IF(SUMPRODUCT(--ISNUMBER(SEARCH(Keywords!C$3:C$7,$D49)))&gt;0,1,0)</f>
        <v>1</v>
      </c>
      <c r="J49" s="0" t="n">
        <f aca="false">IF(SUMPRODUCT(--ISNUMBER(SEARCH(Keywords!D$3:D$7,$D49)))&gt;0,1,0)</f>
        <v>0</v>
      </c>
      <c r="K49" s="0" t="n">
        <f aca="false">IF(SUMPRODUCT(--ISNUMBER(SEARCH(Keywords!E$3:E$7,$D49)))&gt;0,1,0)</f>
        <v>0</v>
      </c>
      <c r="L49" s="0" t="n">
        <f aca="false">IF(SUMPRODUCT(--ISNUMBER(SEARCH(Keywords!F$3:F$7,$D49)))&gt;0,1,0)</f>
        <v>0</v>
      </c>
      <c r="M49" s="0" t="n">
        <f aca="false">IF(SUMPRODUCT(--ISNUMBER(SEARCH(Keywords!G$3:G$7,$D49)))&gt;0,1,0)</f>
        <v>0</v>
      </c>
      <c r="N49" s="0" t="n">
        <f aca="false">SUM(H49:M49)</f>
        <v>1</v>
      </c>
      <c r="O49" s="0" t="str">
        <f aca="false">IF(N49=0,"Other",INDEX($H$2:$M$2,MATCH(1,H49:M49,0)))</f>
        <v>Account status</v>
      </c>
    </row>
    <row r="50" customFormat="false" ht="15" hidden="false" customHeight="false" outlineLevel="0" collapsed="false">
      <c r="A50" s="0" t="s">
        <v>311</v>
      </c>
      <c r="B50" s="0" t="n">
        <v>3</v>
      </c>
      <c r="C50" s="0" t="s">
        <v>230</v>
      </c>
      <c r="D50" s="0" t="s">
        <v>255</v>
      </c>
      <c r="E50" s="0" t="n">
        <v>8</v>
      </c>
      <c r="F50" s="0" t="n">
        <v>4</v>
      </c>
      <c r="G50" s="0" t="s">
        <v>221</v>
      </c>
      <c r="H50" s="0" t="n">
        <f aca="false">IF(SUMPRODUCT(--ISNUMBER(SEARCH(Keywords!B$3:B$7,$D50)))&gt;0,1,0)</f>
        <v>0</v>
      </c>
      <c r="I50" s="0" t="n">
        <f aca="false">IF(SUMPRODUCT(--ISNUMBER(SEARCH(Keywords!C$3:C$7,$D50)))&gt;0,1,0)</f>
        <v>0</v>
      </c>
      <c r="J50" s="0" t="n">
        <f aca="false">IF(SUMPRODUCT(--ISNUMBER(SEARCH(Keywords!D$3:D$7,$D50)))&gt;0,1,0)</f>
        <v>0</v>
      </c>
      <c r="K50" s="0" t="n">
        <f aca="false">IF(SUMPRODUCT(--ISNUMBER(SEARCH(Keywords!E$3:E$7,$D50)))&gt;0,1,0)</f>
        <v>1</v>
      </c>
      <c r="L50" s="0" t="n">
        <f aca="false">IF(SUMPRODUCT(--ISNUMBER(SEARCH(Keywords!F$3:F$7,$D50)))&gt;0,1,0)</f>
        <v>0</v>
      </c>
      <c r="M50" s="0" t="n">
        <f aca="false">IF(SUMPRODUCT(--ISNUMBER(SEARCH(Keywords!G$3:G$7,$D50)))&gt;0,1,0)</f>
        <v>0</v>
      </c>
      <c r="N50" s="0" t="n">
        <f aca="false">SUM(H50:M50)</f>
        <v>1</v>
      </c>
      <c r="O50" s="0" t="str">
        <f aca="false">IF(N50=0,"Other",INDEX($H$2:$M$2,MATCH(1,H50:M50,0)))</f>
        <v>Payout or review</v>
      </c>
    </row>
    <row r="51" customFormat="false" ht="15" hidden="false" customHeight="false" outlineLevel="0" collapsed="false">
      <c r="A51" s="0" t="s">
        <v>312</v>
      </c>
      <c r="B51" s="0" t="n">
        <v>3</v>
      </c>
      <c r="C51" s="0" t="s">
        <v>219</v>
      </c>
      <c r="D51" s="0" t="s">
        <v>313</v>
      </c>
      <c r="E51" s="0" t="n">
        <v>4</v>
      </c>
      <c r="F51" s="0" t="n">
        <v>5</v>
      </c>
      <c r="G51" s="0" t="s">
        <v>221</v>
      </c>
      <c r="H51" s="0" t="n">
        <f aca="false">IF(SUMPRODUCT(--ISNUMBER(SEARCH(Keywords!B$3:B$7,$D51)))&gt;0,1,0)</f>
        <v>0</v>
      </c>
      <c r="I51" s="0" t="n">
        <f aca="false">IF(SUMPRODUCT(--ISNUMBER(SEARCH(Keywords!C$3:C$7,$D51)))&gt;0,1,0)</f>
        <v>0</v>
      </c>
      <c r="J51" s="0" t="n">
        <f aca="false">IF(SUMPRODUCT(--ISNUMBER(SEARCH(Keywords!D$3:D$7,$D51)))&gt;0,1,0)</f>
        <v>0</v>
      </c>
      <c r="K51" s="0" t="n">
        <f aca="false">IF(SUMPRODUCT(--ISNUMBER(SEARCH(Keywords!E$3:E$7,$D51)))&gt;0,1,0)</f>
        <v>0</v>
      </c>
      <c r="L51" s="0" t="n">
        <f aca="false">IF(SUMPRODUCT(--ISNUMBER(SEARCH(Keywords!F$3:F$7,$D51)))&gt;0,1,0)</f>
        <v>0</v>
      </c>
      <c r="M51" s="0" t="n">
        <f aca="false">IF(SUMPRODUCT(--ISNUMBER(SEARCH(Keywords!G$3:G$7,$D51)))&gt;0,1,0)</f>
        <v>0</v>
      </c>
      <c r="N51" s="0" t="n">
        <f aca="false">SUM(H51:M51)</f>
        <v>0</v>
      </c>
      <c r="O51" s="0" t="str">
        <f aca="false">IF(N51=0,"Other",INDEX($H$2:$M$2,MATCH(1,H51:M51,0)))</f>
        <v>Other</v>
      </c>
    </row>
    <row r="52" customFormat="false" ht="15" hidden="false" customHeight="false" outlineLevel="0" collapsed="false">
      <c r="A52" s="0" t="s">
        <v>314</v>
      </c>
      <c r="B52" s="0" t="n">
        <v>3</v>
      </c>
      <c r="C52" s="0" t="s">
        <v>230</v>
      </c>
      <c r="D52" s="0" t="s">
        <v>315</v>
      </c>
      <c r="E52" s="0" t="n">
        <v>12</v>
      </c>
      <c r="F52" s="0" t="n">
        <v>4</v>
      </c>
      <c r="G52" s="0" t="s">
        <v>221</v>
      </c>
      <c r="H52" s="0" t="n">
        <f aca="false">IF(SUMPRODUCT(--ISNUMBER(SEARCH(Keywords!B$3:B$7,$D52)))&gt;0,1,0)</f>
        <v>1</v>
      </c>
      <c r="I52" s="0" t="n">
        <f aca="false">IF(SUMPRODUCT(--ISNUMBER(SEARCH(Keywords!C$3:C$7,$D52)))&gt;0,1,0)</f>
        <v>0</v>
      </c>
      <c r="J52" s="0" t="n">
        <f aca="false">IF(SUMPRODUCT(--ISNUMBER(SEARCH(Keywords!D$3:D$7,$D52)))&gt;0,1,0)</f>
        <v>0</v>
      </c>
      <c r="K52" s="0" t="n">
        <f aca="false">IF(SUMPRODUCT(--ISNUMBER(SEARCH(Keywords!E$3:E$7,$D52)))&gt;0,1,0)</f>
        <v>0</v>
      </c>
      <c r="L52" s="0" t="n">
        <f aca="false">IF(SUMPRODUCT(--ISNUMBER(SEARCH(Keywords!F$3:F$7,$D52)))&gt;0,1,0)</f>
        <v>0</v>
      </c>
      <c r="M52" s="0" t="n">
        <f aca="false">IF(SUMPRODUCT(--ISNUMBER(SEARCH(Keywords!G$3:G$7,$D52)))&gt;0,1,0)</f>
        <v>0</v>
      </c>
      <c r="N52" s="0" t="n">
        <f aca="false">SUM(H52:M52)</f>
        <v>1</v>
      </c>
      <c r="O52" s="0" t="str">
        <f aca="false">IF(N52=0,"Other",INDEX($H$2:$M$2,MATCH(1,H52:M52,0)))</f>
        <v>Market data</v>
      </c>
    </row>
    <row r="53" customFormat="false" ht="15" hidden="false" customHeight="false" outlineLevel="0" collapsed="false">
      <c r="A53" s="0" t="s">
        <v>316</v>
      </c>
      <c r="B53" s="0" t="n">
        <v>3</v>
      </c>
      <c r="C53" s="0" t="s">
        <v>219</v>
      </c>
      <c r="D53" s="0" t="s">
        <v>317</v>
      </c>
      <c r="E53" s="0" t="n">
        <v>9</v>
      </c>
      <c r="F53" s="0" t="n">
        <v>4</v>
      </c>
      <c r="G53" s="0" t="s">
        <v>221</v>
      </c>
      <c r="H53" s="0" t="n">
        <f aca="false">IF(SUMPRODUCT(--ISNUMBER(SEARCH(Keywords!B$3:B$7,$D53)))&gt;0,1,0)</f>
        <v>0</v>
      </c>
      <c r="I53" s="0" t="n">
        <f aca="false">IF(SUMPRODUCT(--ISNUMBER(SEARCH(Keywords!C$3:C$7,$D53)))&gt;0,1,0)</f>
        <v>0</v>
      </c>
      <c r="J53" s="0" t="n">
        <f aca="false">IF(SUMPRODUCT(--ISNUMBER(SEARCH(Keywords!D$3:D$7,$D53)))&gt;0,1,0)</f>
        <v>0</v>
      </c>
      <c r="K53" s="0" t="n">
        <f aca="false">IF(SUMPRODUCT(--ISNUMBER(SEARCH(Keywords!E$3:E$7,$D53)))&gt;0,1,0)</f>
        <v>1</v>
      </c>
      <c r="L53" s="0" t="n">
        <f aca="false">IF(SUMPRODUCT(--ISNUMBER(SEARCH(Keywords!F$3:F$7,$D53)))&gt;0,1,0)</f>
        <v>0</v>
      </c>
      <c r="M53" s="0" t="n">
        <f aca="false">IF(SUMPRODUCT(--ISNUMBER(SEARCH(Keywords!G$3:G$7,$D53)))&gt;0,1,0)</f>
        <v>0</v>
      </c>
      <c r="N53" s="0" t="n">
        <f aca="false">SUM(H53:M53)</f>
        <v>1</v>
      </c>
      <c r="O53" s="0" t="str">
        <f aca="false">IF(N53=0,"Other",INDEX($H$2:$M$2,MATCH(1,H53:M53,0)))</f>
        <v>Payout or review</v>
      </c>
    </row>
    <row r="54" customFormat="false" ht="15" hidden="false" customHeight="false" outlineLevel="0" collapsed="false">
      <c r="A54" s="0" t="s">
        <v>318</v>
      </c>
      <c r="B54" s="0" t="n">
        <v>3</v>
      </c>
      <c r="C54" s="0" t="s">
        <v>219</v>
      </c>
      <c r="D54" s="0" t="s">
        <v>319</v>
      </c>
      <c r="E54" s="0" t="n">
        <v>15</v>
      </c>
      <c r="F54" s="0" t="n">
        <v>2</v>
      </c>
      <c r="G54" s="0" t="s">
        <v>221</v>
      </c>
      <c r="H54" s="0" t="n">
        <f aca="false">IF(SUMPRODUCT(--ISNUMBER(SEARCH(Keywords!B$3:B$7,$D54)))&gt;0,1,0)</f>
        <v>0</v>
      </c>
      <c r="I54" s="0" t="n">
        <f aca="false">IF(SUMPRODUCT(--ISNUMBER(SEARCH(Keywords!C$3:C$7,$D54)))&gt;0,1,0)</f>
        <v>0</v>
      </c>
      <c r="J54" s="0" t="n">
        <f aca="false">IF(SUMPRODUCT(--ISNUMBER(SEARCH(Keywords!D$3:D$7,$D54)))&gt;0,1,0)</f>
        <v>1</v>
      </c>
      <c r="K54" s="0" t="n">
        <f aca="false">IF(SUMPRODUCT(--ISNUMBER(SEARCH(Keywords!E$3:E$7,$D54)))&gt;0,1,0)</f>
        <v>0</v>
      </c>
      <c r="L54" s="0" t="n">
        <f aca="false">IF(SUMPRODUCT(--ISNUMBER(SEARCH(Keywords!F$3:F$7,$D54)))&gt;0,1,0)</f>
        <v>0</v>
      </c>
      <c r="M54" s="0" t="n">
        <f aca="false">IF(SUMPRODUCT(--ISNUMBER(SEARCH(Keywords!G$3:G$7,$D54)))&gt;0,1,0)</f>
        <v>0</v>
      </c>
      <c r="N54" s="0" t="n">
        <f aca="false">SUM(H54:M54)</f>
        <v>1</v>
      </c>
      <c r="O54" s="0" t="str">
        <f aca="false">IF(N54=0,"Other",INDEX($H$2:$M$2,MATCH(1,H54:M54,0)))</f>
        <v>Closure or limit reason</v>
      </c>
    </row>
    <row r="55" customFormat="false" ht="15" hidden="false" customHeight="false" outlineLevel="0" collapsed="false">
      <c r="A55" s="0" t="s">
        <v>320</v>
      </c>
      <c r="B55" s="0" t="n">
        <v>3</v>
      </c>
      <c r="C55" s="0" t="s">
        <v>219</v>
      </c>
      <c r="D55" s="0" t="s">
        <v>321</v>
      </c>
      <c r="E55" s="0" t="n">
        <v>18</v>
      </c>
      <c r="F55" s="0" t="n">
        <v>4</v>
      </c>
      <c r="G55" s="0" t="s">
        <v>221</v>
      </c>
      <c r="H55" s="0" t="n">
        <f aca="false">IF(SUMPRODUCT(--ISNUMBER(SEARCH(Keywords!B$3:B$7,$D55)))&gt;0,1,0)</f>
        <v>1</v>
      </c>
      <c r="I55" s="0" t="n">
        <f aca="false">IF(SUMPRODUCT(--ISNUMBER(SEARCH(Keywords!C$3:C$7,$D55)))&gt;0,1,0)</f>
        <v>0</v>
      </c>
      <c r="J55" s="0" t="n">
        <f aca="false">IF(SUMPRODUCT(--ISNUMBER(SEARCH(Keywords!D$3:D$7,$D55)))&gt;0,1,0)</f>
        <v>0</v>
      </c>
      <c r="K55" s="0" t="n">
        <f aca="false">IF(SUMPRODUCT(--ISNUMBER(SEARCH(Keywords!E$3:E$7,$D55)))&gt;0,1,0)</f>
        <v>0</v>
      </c>
      <c r="L55" s="0" t="n">
        <f aca="false">IF(SUMPRODUCT(--ISNUMBER(SEARCH(Keywords!F$3:F$7,$D55)))&gt;0,1,0)</f>
        <v>0</v>
      </c>
      <c r="M55" s="0" t="n">
        <f aca="false">IF(SUMPRODUCT(--ISNUMBER(SEARCH(Keywords!G$3:G$7,$D55)))&gt;0,1,0)</f>
        <v>0</v>
      </c>
      <c r="N55" s="0" t="n">
        <f aca="false">SUM(H55:M55)</f>
        <v>1</v>
      </c>
      <c r="O55" s="0" t="str">
        <f aca="false">IF(N55=0,"Other",INDEX($H$2:$M$2,MATCH(1,H55:M55,0)))</f>
        <v>Market data</v>
      </c>
    </row>
    <row r="56" customFormat="false" ht="15" hidden="false" customHeight="false" outlineLevel="0" collapsed="false">
      <c r="A56" s="0" t="s">
        <v>322</v>
      </c>
      <c r="B56" s="0" t="n">
        <v>3</v>
      </c>
      <c r="C56" s="0" t="s">
        <v>219</v>
      </c>
      <c r="D56" s="0" t="s">
        <v>323</v>
      </c>
      <c r="E56" s="0" t="n">
        <v>7</v>
      </c>
      <c r="F56" s="0" t="n">
        <v>5</v>
      </c>
      <c r="G56" s="0" t="s">
        <v>221</v>
      </c>
      <c r="H56" s="0" t="n">
        <f aca="false">IF(SUMPRODUCT(--ISNUMBER(SEARCH(Keywords!B$3:B$7,$D56)))&gt;0,1,0)</f>
        <v>1</v>
      </c>
      <c r="I56" s="0" t="n">
        <f aca="false">IF(SUMPRODUCT(--ISNUMBER(SEARCH(Keywords!C$3:C$7,$D56)))&gt;0,1,0)</f>
        <v>0</v>
      </c>
      <c r="J56" s="0" t="n">
        <f aca="false">IF(SUMPRODUCT(--ISNUMBER(SEARCH(Keywords!D$3:D$7,$D56)))&gt;0,1,0)</f>
        <v>0</v>
      </c>
      <c r="K56" s="0" t="n">
        <f aca="false">IF(SUMPRODUCT(--ISNUMBER(SEARCH(Keywords!E$3:E$7,$D56)))&gt;0,1,0)</f>
        <v>0</v>
      </c>
      <c r="L56" s="0" t="n">
        <f aca="false">IF(SUMPRODUCT(--ISNUMBER(SEARCH(Keywords!F$3:F$7,$D56)))&gt;0,1,0)</f>
        <v>1</v>
      </c>
      <c r="M56" s="0" t="n">
        <f aca="false">IF(SUMPRODUCT(--ISNUMBER(SEARCH(Keywords!G$3:G$7,$D56)))&gt;0,1,0)</f>
        <v>0</v>
      </c>
      <c r="N56" s="0" t="n">
        <f aca="false">SUM(H56:M56)</f>
        <v>2</v>
      </c>
      <c r="O56" s="0" t="str">
        <f aca="false">IF(N56=0,"Other",INDEX($H$2:$M$2,MATCH(1,H56:M56,0)))</f>
        <v>Market data</v>
      </c>
    </row>
    <row r="57" customFormat="false" ht="15" hidden="false" customHeight="false" outlineLevel="0" collapsed="false">
      <c r="A57" s="0" t="s">
        <v>324</v>
      </c>
      <c r="B57" s="0" t="n">
        <v>3</v>
      </c>
      <c r="C57" s="0" t="s">
        <v>230</v>
      </c>
      <c r="D57" s="0" t="s">
        <v>325</v>
      </c>
      <c r="E57" s="0" t="n">
        <v>9</v>
      </c>
      <c r="F57" s="0" t="n">
        <v>3</v>
      </c>
      <c r="G57" s="0" t="s">
        <v>221</v>
      </c>
      <c r="H57" s="0" t="n">
        <f aca="false">IF(SUMPRODUCT(--ISNUMBER(SEARCH(Keywords!B$3:B$7,$D57)))&gt;0,1,0)</f>
        <v>0</v>
      </c>
      <c r="I57" s="0" t="n">
        <f aca="false">IF(SUMPRODUCT(--ISNUMBER(SEARCH(Keywords!C$3:C$7,$D57)))&gt;0,1,0)</f>
        <v>0</v>
      </c>
      <c r="J57" s="0" t="n">
        <f aca="false">IF(SUMPRODUCT(--ISNUMBER(SEARCH(Keywords!D$3:D$7,$D57)))&gt;0,1,0)</f>
        <v>0</v>
      </c>
      <c r="K57" s="0" t="n">
        <f aca="false">IF(SUMPRODUCT(--ISNUMBER(SEARCH(Keywords!E$3:E$7,$D57)))&gt;0,1,0)</f>
        <v>0</v>
      </c>
      <c r="L57" s="0" t="n">
        <f aca="false">IF(SUMPRODUCT(--ISNUMBER(SEARCH(Keywords!F$3:F$7,$D57)))&gt;0,1,0)</f>
        <v>0</v>
      </c>
      <c r="M57" s="0" t="n">
        <f aca="false">IF(SUMPRODUCT(--ISNUMBER(SEARCH(Keywords!G$3:G$7,$D57)))&gt;0,1,0)</f>
        <v>1</v>
      </c>
      <c r="N57" s="0" t="n">
        <f aca="false">SUM(H57:M57)</f>
        <v>1</v>
      </c>
      <c r="O57" s="0" t="str">
        <f aca="false">IF(N57=0,"Other",INDEX($H$2:$M$2,MATCH(1,H57:M57,0)))</f>
        <v>Platform setup</v>
      </c>
    </row>
    <row r="58" customFormat="false" ht="15" hidden="false" customHeight="false" outlineLevel="0" collapsed="false">
      <c r="A58" s="0" t="s">
        <v>326</v>
      </c>
      <c r="B58" s="0" t="n">
        <v>4</v>
      </c>
      <c r="C58" s="0" t="s">
        <v>230</v>
      </c>
      <c r="D58" s="0" t="s">
        <v>327</v>
      </c>
      <c r="E58" s="0" t="n">
        <v>9</v>
      </c>
      <c r="F58" s="0" t="n">
        <v>4</v>
      </c>
      <c r="G58" s="0" t="s">
        <v>221</v>
      </c>
      <c r="H58" s="0" t="n">
        <f aca="false">IF(SUMPRODUCT(--ISNUMBER(SEARCH(Keywords!B$3:B$7,$D58)))&gt;0,1,0)</f>
        <v>0</v>
      </c>
      <c r="I58" s="0" t="n">
        <f aca="false">IF(SUMPRODUCT(--ISNUMBER(SEARCH(Keywords!C$3:C$7,$D58)))&gt;0,1,0)</f>
        <v>0</v>
      </c>
      <c r="J58" s="0" t="n">
        <f aca="false">IF(SUMPRODUCT(--ISNUMBER(SEARCH(Keywords!D$3:D$7,$D58)))&gt;0,1,0)</f>
        <v>0</v>
      </c>
      <c r="K58" s="0" t="n">
        <f aca="false">IF(SUMPRODUCT(--ISNUMBER(SEARCH(Keywords!E$3:E$7,$D58)))&gt;0,1,0)</f>
        <v>0</v>
      </c>
      <c r="L58" s="0" t="n">
        <f aca="false">IF(SUMPRODUCT(--ISNUMBER(SEARCH(Keywords!F$3:F$7,$D58)))&gt;0,1,0)</f>
        <v>0</v>
      </c>
      <c r="M58" s="0" t="n">
        <f aca="false">IF(SUMPRODUCT(--ISNUMBER(SEARCH(Keywords!G$3:G$7,$D58)))&gt;0,1,0)</f>
        <v>1</v>
      </c>
      <c r="N58" s="0" t="n">
        <f aca="false">SUM(H58:M58)</f>
        <v>1</v>
      </c>
      <c r="O58" s="0" t="str">
        <f aca="false">IF(N58=0,"Other",INDEX($H$2:$M$2,MATCH(1,H58:M58,0)))</f>
        <v>Platform setup</v>
      </c>
    </row>
    <row r="59" customFormat="false" ht="15" hidden="false" customHeight="false" outlineLevel="0" collapsed="false">
      <c r="A59" s="0" t="s">
        <v>328</v>
      </c>
      <c r="B59" s="0" t="n">
        <v>4</v>
      </c>
      <c r="C59" s="0" t="s">
        <v>219</v>
      </c>
      <c r="D59" s="0" t="s">
        <v>329</v>
      </c>
      <c r="E59" s="0" t="n">
        <v>9</v>
      </c>
      <c r="F59" s="0" t="n">
        <v>2</v>
      </c>
      <c r="G59" s="0" t="s">
        <v>221</v>
      </c>
      <c r="H59" s="0" t="n">
        <f aca="false">IF(SUMPRODUCT(--ISNUMBER(SEARCH(Keywords!B$3:B$7,$D59)))&gt;0,1,0)</f>
        <v>0</v>
      </c>
      <c r="I59" s="0" t="n">
        <f aca="false">IF(SUMPRODUCT(--ISNUMBER(SEARCH(Keywords!C$3:C$7,$D59)))&gt;0,1,0)</f>
        <v>0</v>
      </c>
      <c r="J59" s="0" t="n">
        <f aca="false">IF(SUMPRODUCT(--ISNUMBER(SEARCH(Keywords!D$3:D$7,$D59)))&gt;0,1,0)</f>
        <v>1</v>
      </c>
      <c r="K59" s="0" t="n">
        <f aca="false">IF(SUMPRODUCT(--ISNUMBER(SEARCH(Keywords!E$3:E$7,$D59)))&gt;0,1,0)</f>
        <v>0</v>
      </c>
      <c r="L59" s="0" t="n">
        <f aca="false">IF(SUMPRODUCT(--ISNUMBER(SEARCH(Keywords!F$3:F$7,$D59)))&gt;0,1,0)</f>
        <v>0</v>
      </c>
      <c r="M59" s="0" t="n">
        <f aca="false">IF(SUMPRODUCT(--ISNUMBER(SEARCH(Keywords!G$3:G$7,$D59)))&gt;0,1,0)</f>
        <v>0</v>
      </c>
      <c r="N59" s="0" t="n">
        <f aca="false">SUM(H59:M59)</f>
        <v>1</v>
      </c>
      <c r="O59" s="0" t="str">
        <f aca="false">IF(N59=0,"Other",INDEX($H$2:$M$2,MATCH(1,H59:M59,0)))</f>
        <v>Closure or limit reason</v>
      </c>
    </row>
    <row r="60" customFormat="false" ht="15" hidden="false" customHeight="false" outlineLevel="0" collapsed="false">
      <c r="A60" s="0" t="s">
        <v>330</v>
      </c>
      <c r="B60" s="0" t="n">
        <v>4</v>
      </c>
      <c r="C60" s="0" t="s">
        <v>230</v>
      </c>
      <c r="D60" s="0" t="s">
        <v>331</v>
      </c>
      <c r="E60" s="0" t="n">
        <v>3</v>
      </c>
      <c r="F60" s="0" t="n">
        <v>3</v>
      </c>
      <c r="G60" s="0" t="s">
        <v>221</v>
      </c>
      <c r="H60" s="0" t="n">
        <f aca="false">IF(SUMPRODUCT(--ISNUMBER(SEARCH(Keywords!B$3:B$7,$D60)))&gt;0,1,0)</f>
        <v>1</v>
      </c>
      <c r="I60" s="0" t="n">
        <f aca="false">IF(SUMPRODUCT(--ISNUMBER(SEARCH(Keywords!C$3:C$7,$D60)))&gt;0,1,0)</f>
        <v>0</v>
      </c>
      <c r="J60" s="0" t="n">
        <f aca="false">IF(SUMPRODUCT(--ISNUMBER(SEARCH(Keywords!D$3:D$7,$D60)))&gt;0,1,0)</f>
        <v>0</v>
      </c>
      <c r="K60" s="0" t="n">
        <f aca="false">IF(SUMPRODUCT(--ISNUMBER(SEARCH(Keywords!E$3:E$7,$D60)))&gt;0,1,0)</f>
        <v>0</v>
      </c>
      <c r="L60" s="0" t="n">
        <f aca="false">IF(SUMPRODUCT(--ISNUMBER(SEARCH(Keywords!F$3:F$7,$D60)))&gt;0,1,0)</f>
        <v>0</v>
      </c>
      <c r="M60" s="0" t="n">
        <f aca="false">IF(SUMPRODUCT(--ISNUMBER(SEARCH(Keywords!G$3:G$7,$D60)))&gt;0,1,0)</f>
        <v>0</v>
      </c>
      <c r="N60" s="0" t="n">
        <f aca="false">SUM(H60:M60)</f>
        <v>1</v>
      </c>
      <c r="O60" s="0" t="str">
        <f aca="false">IF(N60=0,"Other",INDEX($H$2:$M$2,MATCH(1,H60:M60,0)))</f>
        <v>Market data</v>
      </c>
    </row>
    <row r="61" customFormat="false" ht="15" hidden="false" customHeight="false" outlineLevel="0" collapsed="false">
      <c r="A61" s="0" t="s">
        <v>332</v>
      </c>
      <c r="B61" s="0" t="n">
        <v>4</v>
      </c>
      <c r="C61" s="0" t="s">
        <v>219</v>
      </c>
      <c r="D61" s="0" t="s">
        <v>333</v>
      </c>
      <c r="E61" s="0" t="n">
        <v>13</v>
      </c>
      <c r="F61" s="0" t="n">
        <v>5</v>
      </c>
      <c r="G61" s="0" t="s">
        <v>221</v>
      </c>
      <c r="H61" s="0" t="n">
        <f aca="false">IF(SUMPRODUCT(--ISNUMBER(SEARCH(Keywords!B$3:B$7,$D61)))&gt;0,1,0)</f>
        <v>0</v>
      </c>
      <c r="I61" s="0" t="n">
        <f aca="false">IF(SUMPRODUCT(--ISNUMBER(SEARCH(Keywords!C$3:C$7,$D61)))&gt;0,1,0)</f>
        <v>1</v>
      </c>
      <c r="J61" s="0" t="n">
        <f aca="false">IF(SUMPRODUCT(--ISNUMBER(SEARCH(Keywords!D$3:D$7,$D61)))&gt;0,1,0)</f>
        <v>0</v>
      </c>
      <c r="K61" s="0" t="n">
        <f aca="false">IF(SUMPRODUCT(--ISNUMBER(SEARCH(Keywords!E$3:E$7,$D61)))&gt;0,1,0)</f>
        <v>0</v>
      </c>
      <c r="L61" s="0" t="n">
        <f aca="false">IF(SUMPRODUCT(--ISNUMBER(SEARCH(Keywords!F$3:F$7,$D61)))&gt;0,1,0)</f>
        <v>0</v>
      </c>
      <c r="M61" s="0" t="n">
        <f aca="false">IF(SUMPRODUCT(--ISNUMBER(SEARCH(Keywords!G$3:G$7,$D61)))&gt;0,1,0)</f>
        <v>0</v>
      </c>
      <c r="N61" s="0" t="n">
        <f aca="false">SUM(H61:M61)</f>
        <v>1</v>
      </c>
      <c r="O61" s="0" t="str">
        <f aca="false">IF(N61=0,"Other",INDEX($H$2:$M$2,MATCH(1,H61:M61,0)))</f>
        <v>Account status</v>
      </c>
    </row>
    <row r="62" customFormat="false" ht="15" hidden="false" customHeight="false" outlineLevel="0" collapsed="false">
      <c r="A62" s="0" t="s">
        <v>334</v>
      </c>
      <c r="B62" s="0" t="n">
        <v>4</v>
      </c>
      <c r="C62" s="0" t="s">
        <v>219</v>
      </c>
      <c r="D62" s="0" t="s">
        <v>335</v>
      </c>
      <c r="E62" s="0" t="n">
        <v>7</v>
      </c>
      <c r="F62" s="0" t="n">
        <v>3</v>
      </c>
      <c r="G62" s="0" t="s">
        <v>221</v>
      </c>
      <c r="H62" s="0" t="n">
        <f aca="false">IF(SUMPRODUCT(--ISNUMBER(SEARCH(Keywords!B$3:B$7,$D62)))&gt;0,1,0)</f>
        <v>0</v>
      </c>
      <c r="I62" s="0" t="n">
        <f aca="false">IF(SUMPRODUCT(--ISNUMBER(SEARCH(Keywords!C$3:C$7,$D62)))&gt;0,1,0)</f>
        <v>0</v>
      </c>
      <c r="J62" s="0" t="n">
        <f aca="false">IF(SUMPRODUCT(--ISNUMBER(SEARCH(Keywords!D$3:D$7,$D62)))&gt;0,1,0)</f>
        <v>0</v>
      </c>
      <c r="K62" s="0" t="n">
        <f aca="false">IF(SUMPRODUCT(--ISNUMBER(SEARCH(Keywords!E$3:E$7,$D62)))&gt;0,1,0)</f>
        <v>1</v>
      </c>
      <c r="L62" s="0" t="n">
        <f aca="false">IF(SUMPRODUCT(--ISNUMBER(SEARCH(Keywords!F$3:F$7,$D62)))&gt;0,1,0)</f>
        <v>0</v>
      </c>
      <c r="M62" s="0" t="n">
        <f aca="false">IF(SUMPRODUCT(--ISNUMBER(SEARCH(Keywords!G$3:G$7,$D62)))&gt;0,1,0)</f>
        <v>0</v>
      </c>
      <c r="N62" s="0" t="n">
        <f aca="false">SUM(H62:M62)</f>
        <v>1</v>
      </c>
      <c r="O62" s="0" t="str">
        <f aca="false">IF(N62=0,"Other",INDEX($H$2:$M$2,MATCH(1,H62:M62,0)))</f>
        <v>Payout or review</v>
      </c>
    </row>
    <row r="63" customFormat="false" ht="15" hidden="false" customHeight="false" outlineLevel="0" collapsed="false">
      <c r="A63" s="0" t="s">
        <v>336</v>
      </c>
      <c r="B63" s="0" t="n">
        <v>4</v>
      </c>
      <c r="C63" s="0" t="s">
        <v>230</v>
      </c>
      <c r="D63" s="0" t="s">
        <v>337</v>
      </c>
      <c r="E63" s="0" t="n">
        <v>8</v>
      </c>
      <c r="F63" s="0" t="n">
        <v>3</v>
      </c>
      <c r="G63" s="0" t="s">
        <v>221</v>
      </c>
      <c r="H63" s="0" t="n">
        <f aca="false">IF(SUMPRODUCT(--ISNUMBER(SEARCH(Keywords!B$3:B$7,$D63)))&gt;0,1,0)</f>
        <v>1</v>
      </c>
      <c r="I63" s="0" t="n">
        <f aca="false">IF(SUMPRODUCT(--ISNUMBER(SEARCH(Keywords!C$3:C$7,$D63)))&gt;0,1,0)</f>
        <v>0</v>
      </c>
      <c r="J63" s="0" t="n">
        <f aca="false">IF(SUMPRODUCT(--ISNUMBER(SEARCH(Keywords!D$3:D$7,$D63)))&gt;0,1,0)</f>
        <v>0</v>
      </c>
      <c r="K63" s="0" t="n">
        <f aca="false">IF(SUMPRODUCT(--ISNUMBER(SEARCH(Keywords!E$3:E$7,$D63)))&gt;0,1,0)</f>
        <v>0</v>
      </c>
      <c r="L63" s="0" t="n">
        <f aca="false">IF(SUMPRODUCT(--ISNUMBER(SEARCH(Keywords!F$3:F$7,$D63)))&gt;0,1,0)</f>
        <v>0</v>
      </c>
      <c r="M63" s="0" t="n">
        <f aca="false">IF(SUMPRODUCT(--ISNUMBER(SEARCH(Keywords!G$3:G$7,$D63)))&gt;0,1,0)</f>
        <v>0</v>
      </c>
      <c r="N63" s="0" t="n">
        <f aca="false">SUM(H63:M63)</f>
        <v>1</v>
      </c>
      <c r="O63" s="0" t="str">
        <f aca="false">IF(N63=0,"Other",INDEX($H$2:$M$2,MATCH(1,H63:M63,0)))</f>
        <v>Market data</v>
      </c>
    </row>
    <row r="64" customFormat="false" ht="15" hidden="false" customHeight="false" outlineLevel="0" collapsed="false">
      <c r="A64" s="0" t="s">
        <v>338</v>
      </c>
      <c r="B64" s="0" t="n">
        <v>4</v>
      </c>
      <c r="C64" s="0" t="s">
        <v>219</v>
      </c>
      <c r="D64" s="0" t="s">
        <v>339</v>
      </c>
      <c r="E64" s="0" t="n">
        <v>15</v>
      </c>
      <c r="F64" s="0" t="n">
        <v>3</v>
      </c>
      <c r="G64" s="0" t="s">
        <v>224</v>
      </c>
      <c r="H64" s="0" t="n">
        <f aca="false">IF(SUMPRODUCT(--ISNUMBER(SEARCH(Keywords!B$3:B$7,$D64)))&gt;0,1,0)</f>
        <v>0</v>
      </c>
      <c r="I64" s="0" t="n">
        <f aca="false">IF(SUMPRODUCT(--ISNUMBER(SEARCH(Keywords!C$3:C$7,$D64)))&gt;0,1,0)</f>
        <v>1</v>
      </c>
      <c r="J64" s="0" t="n">
        <f aca="false">IF(SUMPRODUCT(--ISNUMBER(SEARCH(Keywords!D$3:D$7,$D64)))&gt;0,1,0)</f>
        <v>0</v>
      </c>
      <c r="K64" s="0" t="n">
        <f aca="false">IF(SUMPRODUCT(--ISNUMBER(SEARCH(Keywords!E$3:E$7,$D64)))&gt;0,1,0)</f>
        <v>0</v>
      </c>
      <c r="L64" s="0" t="n">
        <f aca="false">IF(SUMPRODUCT(--ISNUMBER(SEARCH(Keywords!F$3:F$7,$D64)))&gt;0,1,0)</f>
        <v>0</v>
      </c>
      <c r="M64" s="0" t="n">
        <f aca="false">IF(SUMPRODUCT(--ISNUMBER(SEARCH(Keywords!G$3:G$7,$D64)))&gt;0,1,0)</f>
        <v>0</v>
      </c>
      <c r="N64" s="0" t="n">
        <f aca="false">SUM(H64:M64)</f>
        <v>1</v>
      </c>
      <c r="O64" s="0" t="str">
        <f aca="false">IF(N64=0,"Other",INDEX($H$2:$M$2,MATCH(1,H64:M64,0)))</f>
        <v>Account status</v>
      </c>
    </row>
    <row r="65" customFormat="false" ht="15" hidden="false" customHeight="false" outlineLevel="0" collapsed="false">
      <c r="A65" s="0" t="s">
        <v>340</v>
      </c>
      <c r="B65" s="0" t="n">
        <v>4</v>
      </c>
      <c r="C65" s="0" t="s">
        <v>219</v>
      </c>
      <c r="D65" s="0" t="s">
        <v>341</v>
      </c>
      <c r="E65" s="0" t="n">
        <v>20</v>
      </c>
      <c r="F65" s="0" t="n">
        <v>4</v>
      </c>
      <c r="G65" s="0" t="s">
        <v>224</v>
      </c>
      <c r="H65" s="0" t="n">
        <f aca="false">IF(SUMPRODUCT(--ISNUMBER(SEARCH(Keywords!B$3:B$7,$D65)))&gt;0,1,0)</f>
        <v>0</v>
      </c>
      <c r="I65" s="0" t="n">
        <f aca="false">IF(SUMPRODUCT(--ISNUMBER(SEARCH(Keywords!C$3:C$7,$D65)))&gt;0,1,0)</f>
        <v>0</v>
      </c>
      <c r="J65" s="0" t="n">
        <f aca="false">IF(SUMPRODUCT(--ISNUMBER(SEARCH(Keywords!D$3:D$7,$D65)))&gt;0,1,0)</f>
        <v>1</v>
      </c>
      <c r="K65" s="0" t="n">
        <f aca="false">IF(SUMPRODUCT(--ISNUMBER(SEARCH(Keywords!E$3:E$7,$D65)))&gt;0,1,0)</f>
        <v>0</v>
      </c>
      <c r="L65" s="0" t="n">
        <f aca="false">IF(SUMPRODUCT(--ISNUMBER(SEARCH(Keywords!F$3:F$7,$D65)))&gt;0,1,0)</f>
        <v>0</v>
      </c>
      <c r="M65" s="0" t="n">
        <f aca="false">IF(SUMPRODUCT(--ISNUMBER(SEARCH(Keywords!G$3:G$7,$D65)))&gt;0,1,0)</f>
        <v>0</v>
      </c>
      <c r="N65" s="0" t="n">
        <f aca="false">SUM(H65:M65)</f>
        <v>1</v>
      </c>
      <c r="O65" s="0" t="str">
        <f aca="false">IF(N65=0,"Other",INDEX($H$2:$M$2,MATCH(1,H65:M65,0)))</f>
        <v>Closure or limit reason</v>
      </c>
    </row>
    <row r="66" customFormat="false" ht="15" hidden="false" customHeight="false" outlineLevel="0" collapsed="false">
      <c r="A66" s="0" t="s">
        <v>342</v>
      </c>
      <c r="B66" s="0" t="n">
        <v>4</v>
      </c>
      <c r="C66" s="0" t="s">
        <v>230</v>
      </c>
      <c r="D66" s="0" t="s">
        <v>266</v>
      </c>
      <c r="E66" s="0" t="n">
        <v>10</v>
      </c>
      <c r="F66" s="0" t="n">
        <v>5</v>
      </c>
      <c r="G66" s="0" t="s">
        <v>221</v>
      </c>
      <c r="H66" s="0" t="n">
        <f aca="false">IF(SUMPRODUCT(--ISNUMBER(SEARCH(Keywords!B$3:B$7,$D66)))&gt;0,1,0)</f>
        <v>0</v>
      </c>
      <c r="I66" s="0" t="n">
        <f aca="false">IF(SUMPRODUCT(--ISNUMBER(SEARCH(Keywords!C$3:C$7,$D66)))&gt;0,1,0)</f>
        <v>0</v>
      </c>
      <c r="J66" s="0" t="n">
        <f aca="false">IF(SUMPRODUCT(--ISNUMBER(SEARCH(Keywords!D$3:D$7,$D66)))&gt;0,1,0)</f>
        <v>0</v>
      </c>
      <c r="K66" s="0" t="n">
        <f aca="false">IF(SUMPRODUCT(--ISNUMBER(SEARCH(Keywords!E$3:E$7,$D66)))&gt;0,1,0)</f>
        <v>0</v>
      </c>
      <c r="L66" s="0" t="n">
        <f aca="false">IF(SUMPRODUCT(--ISNUMBER(SEARCH(Keywords!F$3:F$7,$D66)))&gt;0,1,0)</f>
        <v>0</v>
      </c>
      <c r="M66" s="0" t="n">
        <f aca="false">IF(SUMPRODUCT(--ISNUMBER(SEARCH(Keywords!G$3:G$7,$D66)))&gt;0,1,0)</f>
        <v>0</v>
      </c>
      <c r="N66" s="0" t="n">
        <f aca="false">SUM(H66:M66)</f>
        <v>0</v>
      </c>
      <c r="O66" s="0" t="str">
        <f aca="false">IF(N66=0,"Other",INDEX($H$2:$M$2,MATCH(1,H66:M66,0)))</f>
        <v>Other</v>
      </c>
    </row>
    <row r="67" customFormat="false" ht="15" hidden="false" customHeight="false" outlineLevel="0" collapsed="false">
      <c r="A67" s="0" t="s">
        <v>343</v>
      </c>
      <c r="B67" s="0" t="n">
        <v>4</v>
      </c>
      <c r="C67" s="0" t="s">
        <v>230</v>
      </c>
      <c r="D67" s="0" t="s">
        <v>344</v>
      </c>
      <c r="E67" s="0" t="n">
        <v>11</v>
      </c>
      <c r="F67" s="0" t="n">
        <v>4</v>
      </c>
      <c r="G67" s="0" t="s">
        <v>224</v>
      </c>
      <c r="H67" s="0" t="n">
        <f aca="false">IF(SUMPRODUCT(--ISNUMBER(SEARCH(Keywords!B$3:B$7,$D67)))&gt;0,1,0)</f>
        <v>0</v>
      </c>
      <c r="I67" s="0" t="n">
        <f aca="false">IF(SUMPRODUCT(--ISNUMBER(SEARCH(Keywords!C$3:C$7,$D67)))&gt;0,1,0)</f>
        <v>0</v>
      </c>
      <c r="J67" s="0" t="n">
        <f aca="false">IF(SUMPRODUCT(--ISNUMBER(SEARCH(Keywords!D$3:D$7,$D67)))&gt;0,1,0)</f>
        <v>0</v>
      </c>
      <c r="K67" s="0" t="n">
        <f aca="false">IF(SUMPRODUCT(--ISNUMBER(SEARCH(Keywords!E$3:E$7,$D67)))&gt;0,1,0)</f>
        <v>1</v>
      </c>
      <c r="L67" s="0" t="n">
        <f aca="false">IF(SUMPRODUCT(--ISNUMBER(SEARCH(Keywords!F$3:F$7,$D67)))&gt;0,1,0)</f>
        <v>0</v>
      </c>
      <c r="M67" s="0" t="n">
        <f aca="false">IF(SUMPRODUCT(--ISNUMBER(SEARCH(Keywords!G$3:G$7,$D67)))&gt;0,1,0)</f>
        <v>0</v>
      </c>
      <c r="N67" s="0" t="n">
        <f aca="false">SUM(H67:M67)</f>
        <v>1</v>
      </c>
      <c r="O67" s="0" t="str">
        <f aca="false">IF(N67=0,"Other",INDEX($H$2:$M$2,MATCH(1,H67:M67,0)))</f>
        <v>Payout or review</v>
      </c>
    </row>
    <row r="68" customFormat="false" ht="15" hidden="false" customHeight="false" outlineLevel="0" collapsed="false">
      <c r="A68" s="0" t="s">
        <v>345</v>
      </c>
      <c r="B68" s="0" t="n">
        <v>4</v>
      </c>
      <c r="C68" s="0" t="s">
        <v>219</v>
      </c>
      <c r="D68" s="0" t="s">
        <v>346</v>
      </c>
      <c r="E68" s="0" t="n">
        <v>11</v>
      </c>
      <c r="F68" s="0" t="n">
        <v>5</v>
      </c>
      <c r="G68" s="0" t="s">
        <v>221</v>
      </c>
      <c r="H68" s="0" t="n">
        <f aca="false">IF(SUMPRODUCT(--ISNUMBER(SEARCH(Keywords!B$3:B$7,$D68)))&gt;0,1,0)</f>
        <v>0</v>
      </c>
      <c r="I68" s="0" t="n">
        <f aca="false">IF(SUMPRODUCT(--ISNUMBER(SEARCH(Keywords!C$3:C$7,$D68)))&gt;0,1,0)</f>
        <v>0</v>
      </c>
      <c r="J68" s="0" t="n">
        <f aca="false">IF(SUMPRODUCT(--ISNUMBER(SEARCH(Keywords!D$3:D$7,$D68)))&gt;0,1,0)</f>
        <v>0</v>
      </c>
      <c r="K68" s="0" t="n">
        <f aca="false">IF(SUMPRODUCT(--ISNUMBER(SEARCH(Keywords!E$3:E$7,$D68)))&gt;0,1,0)</f>
        <v>0</v>
      </c>
      <c r="L68" s="0" t="n">
        <f aca="false">IF(SUMPRODUCT(--ISNUMBER(SEARCH(Keywords!F$3:F$7,$D68)))&gt;0,1,0)</f>
        <v>0</v>
      </c>
      <c r="M68" s="0" t="n">
        <f aca="false">IF(SUMPRODUCT(--ISNUMBER(SEARCH(Keywords!G$3:G$7,$D68)))&gt;0,1,0)</f>
        <v>0</v>
      </c>
      <c r="N68" s="0" t="n">
        <f aca="false">SUM(H68:M68)</f>
        <v>0</v>
      </c>
      <c r="O68" s="0" t="str">
        <f aca="false">IF(N68=0,"Other",INDEX($H$2:$M$2,MATCH(1,H68:M68,0)))</f>
        <v>Other</v>
      </c>
    </row>
    <row r="69" customFormat="false" ht="15" hidden="false" customHeight="false" outlineLevel="0" collapsed="false">
      <c r="A69" s="0" t="s">
        <v>347</v>
      </c>
      <c r="B69" s="0" t="n">
        <v>4</v>
      </c>
      <c r="C69" s="0" t="s">
        <v>230</v>
      </c>
      <c r="D69" s="0" t="s">
        <v>315</v>
      </c>
      <c r="E69" s="0" t="n">
        <v>14</v>
      </c>
      <c r="F69" s="0" t="n">
        <v>3</v>
      </c>
      <c r="G69" s="0" t="s">
        <v>221</v>
      </c>
      <c r="H69" s="0" t="n">
        <f aca="false">IF(SUMPRODUCT(--ISNUMBER(SEARCH(Keywords!B$3:B$7,$D69)))&gt;0,1,0)</f>
        <v>1</v>
      </c>
      <c r="I69" s="0" t="n">
        <f aca="false">IF(SUMPRODUCT(--ISNUMBER(SEARCH(Keywords!C$3:C$7,$D69)))&gt;0,1,0)</f>
        <v>0</v>
      </c>
      <c r="J69" s="0" t="n">
        <f aca="false">IF(SUMPRODUCT(--ISNUMBER(SEARCH(Keywords!D$3:D$7,$D69)))&gt;0,1,0)</f>
        <v>0</v>
      </c>
      <c r="K69" s="0" t="n">
        <f aca="false">IF(SUMPRODUCT(--ISNUMBER(SEARCH(Keywords!E$3:E$7,$D69)))&gt;0,1,0)</f>
        <v>0</v>
      </c>
      <c r="L69" s="0" t="n">
        <f aca="false">IF(SUMPRODUCT(--ISNUMBER(SEARCH(Keywords!F$3:F$7,$D69)))&gt;0,1,0)</f>
        <v>0</v>
      </c>
      <c r="M69" s="0" t="n">
        <f aca="false">IF(SUMPRODUCT(--ISNUMBER(SEARCH(Keywords!G$3:G$7,$D69)))&gt;0,1,0)</f>
        <v>0</v>
      </c>
      <c r="N69" s="0" t="n">
        <f aca="false">SUM(H69:M69)</f>
        <v>1</v>
      </c>
      <c r="O69" s="0" t="str">
        <f aca="false">IF(N69=0,"Other",INDEX($H$2:$M$2,MATCH(1,H69:M69,0)))</f>
        <v>Market data</v>
      </c>
    </row>
    <row r="70" customFormat="false" ht="15" hidden="false" customHeight="false" outlineLevel="0" collapsed="false">
      <c r="A70" s="0" t="s">
        <v>348</v>
      </c>
      <c r="B70" s="0" t="n">
        <v>4</v>
      </c>
      <c r="C70" s="0" t="s">
        <v>219</v>
      </c>
      <c r="D70" s="0" t="s">
        <v>349</v>
      </c>
      <c r="E70" s="0" t="n">
        <v>14</v>
      </c>
      <c r="F70" s="0" t="n">
        <v>3</v>
      </c>
      <c r="G70" s="0" t="s">
        <v>224</v>
      </c>
      <c r="H70" s="0" t="n">
        <f aca="false">IF(SUMPRODUCT(--ISNUMBER(SEARCH(Keywords!B$3:B$7,$D70)))&gt;0,1,0)</f>
        <v>0</v>
      </c>
      <c r="I70" s="0" t="n">
        <f aca="false">IF(SUMPRODUCT(--ISNUMBER(SEARCH(Keywords!C$3:C$7,$D70)))&gt;0,1,0)</f>
        <v>1</v>
      </c>
      <c r="J70" s="0" t="n">
        <f aca="false">IF(SUMPRODUCT(--ISNUMBER(SEARCH(Keywords!D$3:D$7,$D70)))&gt;0,1,0)</f>
        <v>0</v>
      </c>
      <c r="K70" s="0" t="n">
        <f aca="false">IF(SUMPRODUCT(--ISNUMBER(SEARCH(Keywords!E$3:E$7,$D70)))&gt;0,1,0)</f>
        <v>0</v>
      </c>
      <c r="L70" s="0" t="n">
        <f aca="false">IF(SUMPRODUCT(--ISNUMBER(SEARCH(Keywords!F$3:F$7,$D70)))&gt;0,1,0)</f>
        <v>0</v>
      </c>
      <c r="M70" s="0" t="n">
        <f aca="false">IF(SUMPRODUCT(--ISNUMBER(SEARCH(Keywords!G$3:G$7,$D70)))&gt;0,1,0)</f>
        <v>0</v>
      </c>
      <c r="N70" s="0" t="n">
        <f aca="false">SUM(H70:M70)</f>
        <v>1</v>
      </c>
      <c r="O70" s="0" t="str">
        <f aca="false">IF(N70=0,"Other",INDEX($H$2:$M$2,MATCH(1,H70:M70,0)))</f>
        <v>Account status</v>
      </c>
    </row>
    <row r="71" customFormat="false" ht="15" hidden="false" customHeight="false" outlineLevel="0" collapsed="false">
      <c r="A71" s="0" t="s">
        <v>350</v>
      </c>
      <c r="B71" s="0" t="n">
        <v>4</v>
      </c>
      <c r="C71" s="0" t="s">
        <v>219</v>
      </c>
      <c r="D71" s="0" t="s">
        <v>351</v>
      </c>
      <c r="E71" s="0" t="n">
        <v>15</v>
      </c>
      <c r="F71" s="0" t="n">
        <v>1</v>
      </c>
      <c r="G71" s="0" t="s">
        <v>221</v>
      </c>
      <c r="H71" s="0" t="n">
        <f aca="false">IF(SUMPRODUCT(--ISNUMBER(SEARCH(Keywords!B$3:B$7,$D71)))&gt;0,1,0)</f>
        <v>0</v>
      </c>
      <c r="I71" s="0" t="n">
        <f aca="false">IF(SUMPRODUCT(--ISNUMBER(SEARCH(Keywords!C$3:C$7,$D71)))&gt;0,1,0)</f>
        <v>0</v>
      </c>
      <c r="J71" s="0" t="n">
        <f aca="false">IF(SUMPRODUCT(--ISNUMBER(SEARCH(Keywords!D$3:D$7,$D71)))&gt;0,1,0)</f>
        <v>1</v>
      </c>
      <c r="K71" s="0" t="n">
        <f aca="false">IF(SUMPRODUCT(--ISNUMBER(SEARCH(Keywords!E$3:E$7,$D71)))&gt;0,1,0)</f>
        <v>0</v>
      </c>
      <c r="L71" s="0" t="n">
        <f aca="false">IF(SUMPRODUCT(--ISNUMBER(SEARCH(Keywords!F$3:F$7,$D71)))&gt;0,1,0)</f>
        <v>0</v>
      </c>
      <c r="M71" s="0" t="n">
        <f aca="false">IF(SUMPRODUCT(--ISNUMBER(SEARCH(Keywords!G$3:G$7,$D71)))&gt;0,1,0)</f>
        <v>0</v>
      </c>
      <c r="N71" s="0" t="n">
        <f aca="false">SUM(H71:M71)</f>
        <v>1</v>
      </c>
      <c r="O71" s="0" t="str">
        <f aca="false">IF(N71=0,"Other",INDEX($H$2:$M$2,MATCH(1,H71:M71,0)))</f>
        <v>Closure or limit reason</v>
      </c>
    </row>
    <row r="72" customFormat="false" ht="15" hidden="false" customHeight="false" outlineLevel="0" collapsed="false">
      <c r="A72" s="0" t="s">
        <v>352</v>
      </c>
      <c r="B72" s="0" t="n">
        <v>4</v>
      </c>
      <c r="C72" s="0" t="s">
        <v>219</v>
      </c>
      <c r="D72" s="0" t="s">
        <v>353</v>
      </c>
      <c r="E72" s="0" t="n">
        <v>11</v>
      </c>
      <c r="F72" s="0" t="n">
        <v>3</v>
      </c>
      <c r="G72" s="0" t="s">
        <v>221</v>
      </c>
      <c r="H72" s="0" t="n">
        <f aca="false">IF(SUMPRODUCT(--ISNUMBER(SEARCH(Keywords!B$3:B$7,$D72)))&gt;0,1,0)</f>
        <v>0</v>
      </c>
      <c r="I72" s="0" t="n">
        <f aca="false">IF(SUMPRODUCT(--ISNUMBER(SEARCH(Keywords!C$3:C$7,$D72)))&gt;0,1,0)</f>
        <v>0</v>
      </c>
      <c r="J72" s="0" t="n">
        <f aca="false">IF(SUMPRODUCT(--ISNUMBER(SEARCH(Keywords!D$3:D$7,$D72)))&gt;0,1,0)</f>
        <v>0</v>
      </c>
      <c r="K72" s="0" t="n">
        <f aca="false">IF(SUMPRODUCT(--ISNUMBER(SEARCH(Keywords!E$3:E$7,$D72)))&gt;0,1,0)</f>
        <v>0</v>
      </c>
      <c r="L72" s="0" t="n">
        <f aca="false">IF(SUMPRODUCT(--ISNUMBER(SEARCH(Keywords!F$3:F$7,$D72)))&gt;0,1,0)</f>
        <v>1</v>
      </c>
      <c r="M72" s="0" t="n">
        <f aca="false">IF(SUMPRODUCT(--ISNUMBER(SEARCH(Keywords!G$3:G$7,$D72)))&gt;0,1,0)</f>
        <v>0</v>
      </c>
      <c r="N72" s="0" t="n">
        <f aca="false">SUM(H72:M72)</f>
        <v>1</v>
      </c>
      <c r="O72" s="0" t="str">
        <f aca="false">IF(N72=0,"Other",INDEX($H$2:$M$2,MATCH(1,H72:M72,0)))</f>
        <v>Sign-in or verification</v>
      </c>
    </row>
    <row r="73" customFormat="false" ht="15" hidden="false" customHeight="false" outlineLevel="0" collapsed="false">
      <c r="A73" s="0" t="s">
        <v>354</v>
      </c>
      <c r="B73" s="0" t="n">
        <v>4</v>
      </c>
      <c r="C73" s="0" t="s">
        <v>219</v>
      </c>
      <c r="D73" s="0" t="s">
        <v>355</v>
      </c>
      <c r="E73" s="0" t="n">
        <v>8</v>
      </c>
      <c r="F73" s="0" t="n">
        <v>4</v>
      </c>
      <c r="G73" s="0" t="s">
        <v>221</v>
      </c>
      <c r="H73" s="0" t="n">
        <f aca="false">IF(SUMPRODUCT(--ISNUMBER(SEARCH(Keywords!B$3:B$7,$D73)))&gt;0,1,0)</f>
        <v>0</v>
      </c>
      <c r="I73" s="0" t="n">
        <f aca="false">IF(SUMPRODUCT(--ISNUMBER(SEARCH(Keywords!C$3:C$7,$D73)))&gt;0,1,0)</f>
        <v>0</v>
      </c>
      <c r="J73" s="0" t="n">
        <f aca="false">IF(SUMPRODUCT(--ISNUMBER(SEARCH(Keywords!D$3:D$7,$D73)))&gt;0,1,0)</f>
        <v>0</v>
      </c>
      <c r="K73" s="0" t="n">
        <f aca="false">IF(SUMPRODUCT(--ISNUMBER(SEARCH(Keywords!E$3:E$7,$D73)))&gt;0,1,0)</f>
        <v>0</v>
      </c>
      <c r="L73" s="0" t="n">
        <f aca="false">IF(SUMPRODUCT(--ISNUMBER(SEARCH(Keywords!F$3:F$7,$D73)))&gt;0,1,0)</f>
        <v>0</v>
      </c>
      <c r="M73" s="0" t="n">
        <f aca="false">IF(SUMPRODUCT(--ISNUMBER(SEARCH(Keywords!G$3:G$7,$D73)))&gt;0,1,0)</f>
        <v>1</v>
      </c>
      <c r="N73" s="0" t="n">
        <f aca="false">SUM(H73:M73)</f>
        <v>1</v>
      </c>
      <c r="O73" s="0" t="str">
        <f aca="false">IF(N73=0,"Other",INDEX($H$2:$M$2,MATCH(1,H73:M73,0)))</f>
        <v>Platform setup</v>
      </c>
    </row>
    <row r="74" customFormat="false" ht="15" hidden="false" customHeight="false" outlineLevel="0" collapsed="false">
      <c r="A74" s="0" t="s">
        <v>356</v>
      </c>
      <c r="B74" s="0" t="n">
        <v>4</v>
      </c>
      <c r="C74" s="0" t="s">
        <v>230</v>
      </c>
      <c r="D74" s="0" t="s">
        <v>357</v>
      </c>
      <c r="E74" s="0" t="n">
        <v>16</v>
      </c>
      <c r="F74" s="0" t="n">
        <v>3</v>
      </c>
      <c r="G74" s="0" t="s">
        <v>224</v>
      </c>
      <c r="H74" s="0" t="n">
        <f aca="false">IF(SUMPRODUCT(--ISNUMBER(SEARCH(Keywords!B$3:B$7,$D74)))&gt;0,1,0)</f>
        <v>0</v>
      </c>
      <c r="I74" s="0" t="n">
        <f aca="false">IF(SUMPRODUCT(--ISNUMBER(SEARCH(Keywords!C$3:C$7,$D74)))&gt;0,1,0)</f>
        <v>0</v>
      </c>
      <c r="J74" s="0" t="n">
        <f aca="false">IF(SUMPRODUCT(--ISNUMBER(SEARCH(Keywords!D$3:D$7,$D74)))&gt;0,1,0)</f>
        <v>0</v>
      </c>
      <c r="K74" s="0" t="n">
        <f aca="false">IF(SUMPRODUCT(--ISNUMBER(SEARCH(Keywords!E$3:E$7,$D74)))&gt;0,1,0)</f>
        <v>1</v>
      </c>
      <c r="L74" s="0" t="n">
        <f aca="false">IF(SUMPRODUCT(--ISNUMBER(SEARCH(Keywords!F$3:F$7,$D74)))&gt;0,1,0)</f>
        <v>0</v>
      </c>
      <c r="M74" s="0" t="n">
        <f aca="false">IF(SUMPRODUCT(--ISNUMBER(SEARCH(Keywords!G$3:G$7,$D74)))&gt;0,1,0)</f>
        <v>0</v>
      </c>
      <c r="N74" s="0" t="n">
        <f aca="false">SUM(H74:M74)</f>
        <v>1</v>
      </c>
      <c r="O74" s="0" t="str">
        <f aca="false">IF(N74=0,"Other",INDEX($H$2:$M$2,MATCH(1,H74:M74,0)))</f>
        <v>Payout or review</v>
      </c>
    </row>
    <row r="75" customFormat="false" ht="15" hidden="false" customHeight="false" outlineLevel="0" collapsed="false">
      <c r="A75" s="0" t="s">
        <v>358</v>
      </c>
      <c r="B75" s="0" t="n">
        <v>5</v>
      </c>
      <c r="C75" s="0" t="s">
        <v>230</v>
      </c>
      <c r="D75" s="0" t="s">
        <v>331</v>
      </c>
      <c r="E75" s="0" t="n">
        <v>13</v>
      </c>
      <c r="F75" s="0" t="n">
        <v>3</v>
      </c>
      <c r="G75" s="0" t="s">
        <v>221</v>
      </c>
      <c r="H75" s="0" t="n">
        <f aca="false">IF(SUMPRODUCT(--ISNUMBER(SEARCH(Keywords!B$3:B$7,$D75)))&gt;0,1,0)</f>
        <v>1</v>
      </c>
      <c r="I75" s="0" t="n">
        <f aca="false">IF(SUMPRODUCT(--ISNUMBER(SEARCH(Keywords!C$3:C$7,$D75)))&gt;0,1,0)</f>
        <v>0</v>
      </c>
      <c r="J75" s="0" t="n">
        <f aca="false">IF(SUMPRODUCT(--ISNUMBER(SEARCH(Keywords!D$3:D$7,$D75)))&gt;0,1,0)</f>
        <v>0</v>
      </c>
      <c r="K75" s="0" t="n">
        <f aca="false">IF(SUMPRODUCT(--ISNUMBER(SEARCH(Keywords!E$3:E$7,$D75)))&gt;0,1,0)</f>
        <v>0</v>
      </c>
      <c r="L75" s="0" t="n">
        <f aca="false">IF(SUMPRODUCT(--ISNUMBER(SEARCH(Keywords!F$3:F$7,$D75)))&gt;0,1,0)</f>
        <v>0</v>
      </c>
      <c r="M75" s="0" t="n">
        <f aca="false">IF(SUMPRODUCT(--ISNUMBER(SEARCH(Keywords!G$3:G$7,$D75)))&gt;0,1,0)</f>
        <v>0</v>
      </c>
      <c r="N75" s="0" t="n">
        <f aca="false">SUM(H75:M75)</f>
        <v>1</v>
      </c>
      <c r="O75" s="0" t="str">
        <f aca="false">IF(N75=0,"Other",INDEX($H$2:$M$2,MATCH(1,H75:M75,0)))</f>
        <v>Market data</v>
      </c>
    </row>
    <row r="76" customFormat="false" ht="15" hidden="false" customHeight="false" outlineLevel="0" collapsed="false">
      <c r="A76" s="0" t="s">
        <v>359</v>
      </c>
      <c r="B76" s="0" t="n">
        <v>5</v>
      </c>
      <c r="C76" s="0" t="s">
        <v>230</v>
      </c>
      <c r="D76" s="0" t="s">
        <v>360</v>
      </c>
      <c r="E76" s="0" t="n">
        <v>15</v>
      </c>
      <c r="F76" s="0" t="n">
        <v>3</v>
      </c>
      <c r="G76" s="0" t="s">
        <v>221</v>
      </c>
      <c r="H76" s="0" t="n">
        <f aca="false">IF(SUMPRODUCT(--ISNUMBER(SEARCH(Keywords!B$3:B$7,$D76)))&gt;0,1,0)</f>
        <v>1</v>
      </c>
      <c r="I76" s="0" t="n">
        <f aca="false">IF(SUMPRODUCT(--ISNUMBER(SEARCH(Keywords!C$3:C$7,$D76)))&gt;0,1,0)</f>
        <v>0</v>
      </c>
      <c r="J76" s="0" t="n">
        <f aca="false">IF(SUMPRODUCT(--ISNUMBER(SEARCH(Keywords!D$3:D$7,$D76)))&gt;0,1,0)</f>
        <v>0</v>
      </c>
      <c r="K76" s="0" t="n">
        <f aca="false">IF(SUMPRODUCT(--ISNUMBER(SEARCH(Keywords!E$3:E$7,$D76)))&gt;0,1,0)</f>
        <v>0</v>
      </c>
      <c r="L76" s="0" t="n">
        <f aca="false">IF(SUMPRODUCT(--ISNUMBER(SEARCH(Keywords!F$3:F$7,$D76)))&gt;0,1,0)</f>
        <v>0</v>
      </c>
      <c r="M76" s="0" t="n">
        <f aca="false">IF(SUMPRODUCT(--ISNUMBER(SEARCH(Keywords!G$3:G$7,$D76)))&gt;0,1,0)</f>
        <v>0</v>
      </c>
      <c r="N76" s="0" t="n">
        <f aca="false">SUM(H76:M76)</f>
        <v>1</v>
      </c>
      <c r="O76" s="0" t="str">
        <f aca="false">IF(N76=0,"Other",INDEX($H$2:$M$2,MATCH(1,H76:M76,0)))</f>
        <v>Market data</v>
      </c>
    </row>
    <row r="77" customFormat="false" ht="15" hidden="false" customHeight="false" outlineLevel="0" collapsed="false">
      <c r="A77" s="0" t="s">
        <v>361</v>
      </c>
      <c r="B77" s="0" t="n">
        <v>5</v>
      </c>
      <c r="C77" s="0" t="s">
        <v>219</v>
      </c>
      <c r="D77" s="0" t="s">
        <v>226</v>
      </c>
      <c r="E77" s="0" t="n">
        <v>13</v>
      </c>
      <c r="F77" s="0" t="n">
        <v>3</v>
      </c>
      <c r="G77" s="0" t="s">
        <v>224</v>
      </c>
      <c r="H77" s="0" t="n">
        <f aca="false">IF(SUMPRODUCT(--ISNUMBER(SEARCH(Keywords!B$3:B$7,$D77)))&gt;0,1,0)</f>
        <v>0</v>
      </c>
      <c r="I77" s="0" t="n">
        <f aca="false">IF(SUMPRODUCT(--ISNUMBER(SEARCH(Keywords!C$3:C$7,$D77)))&gt;0,1,0)</f>
        <v>1</v>
      </c>
      <c r="J77" s="0" t="n">
        <f aca="false">IF(SUMPRODUCT(--ISNUMBER(SEARCH(Keywords!D$3:D$7,$D77)))&gt;0,1,0)</f>
        <v>0</v>
      </c>
      <c r="K77" s="0" t="n">
        <f aca="false">IF(SUMPRODUCT(--ISNUMBER(SEARCH(Keywords!E$3:E$7,$D77)))&gt;0,1,0)</f>
        <v>0</v>
      </c>
      <c r="L77" s="0" t="n">
        <f aca="false">IF(SUMPRODUCT(--ISNUMBER(SEARCH(Keywords!F$3:F$7,$D77)))&gt;0,1,0)</f>
        <v>0</v>
      </c>
      <c r="M77" s="0" t="n">
        <f aca="false">IF(SUMPRODUCT(--ISNUMBER(SEARCH(Keywords!G$3:G$7,$D77)))&gt;0,1,0)</f>
        <v>0</v>
      </c>
      <c r="N77" s="0" t="n">
        <f aca="false">SUM(H77:M77)</f>
        <v>1</v>
      </c>
      <c r="O77" s="0" t="str">
        <f aca="false">IF(N77=0,"Other",INDEX($H$2:$M$2,MATCH(1,H77:M77,0)))</f>
        <v>Account status</v>
      </c>
    </row>
    <row r="78" customFormat="false" ht="15" hidden="false" customHeight="false" outlineLevel="0" collapsed="false">
      <c r="A78" s="0" t="s">
        <v>362</v>
      </c>
      <c r="B78" s="0" t="n">
        <v>5</v>
      </c>
      <c r="C78" s="0" t="s">
        <v>230</v>
      </c>
      <c r="D78" s="0" t="s">
        <v>363</v>
      </c>
      <c r="E78" s="0" t="n">
        <v>6</v>
      </c>
      <c r="F78" s="0" t="n">
        <v>4</v>
      </c>
      <c r="G78" s="0" t="s">
        <v>224</v>
      </c>
      <c r="H78" s="0" t="n">
        <f aca="false">IF(SUMPRODUCT(--ISNUMBER(SEARCH(Keywords!B$3:B$7,$D78)))&gt;0,1,0)</f>
        <v>0</v>
      </c>
      <c r="I78" s="0" t="n">
        <f aca="false">IF(SUMPRODUCT(--ISNUMBER(SEARCH(Keywords!C$3:C$7,$D78)))&gt;0,1,0)</f>
        <v>0</v>
      </c>
      <c r="J78" s="0" t="n">
        <f aca="false">IF(SUMPRODUCT(--ISNUMBER(SEARCH(Keywords!D$3:D$7,$D78)))&gt;0,1,0)</f>
        <v>0</v>
      </c>
      <c r="K78" s="0" t="n">
        <f aca="false">IF(SUMPRODUCT(--ISNUMBER(SEARCH(Keywords!E$3:E$7,$D78)))&gt;0,1,0)</f>
        <v>1</v>
      </c>
      <c r="L78" s="0" t="n">
        <f aca="false">IF(SUMPRODUCT(--ISNUMBER(SEARCH(Keywords!F$3:F$7,$D78)))&gt;0,1,0)</f>
        <v>0</v>
      </c>
      <c r="M78" s="0" t="n">
        <f aca="false">IF(SUMPRODUCT(--ISNUMBER(SEARCH(Keywords!G$3:G$7,$D78)))&gt;0,1,0)</f>
        <v>0</v>
      </c>
      <c r="N78" s="0" t="n">
        <f aca="false">SUM(H78:M78)</f>
        <v>1</v>
      </c>
      <c r="O78" s="0" t="str">
        <f aca="false">IF(N78=0,"Other",INDEX($H$2:$M$2,MATCH(1,H78:M78,0)))</f>
        <v>Payout or review</v>
      </c>
    </row>
    <row r="79" customFormat="false" ht="15" hidden="false" customHeight="false" outlineLevel="0" collapsed="false">
      <c r="A79" s="0" t="s">
        <v>364</v>
      </c>
      <c r="B79" s="0" t="n">
        <v>5</v>
      </c>
      <c r="C79" s="0" t="s">
        <v>219</v>
      </c>
      <c r="D79" s="0" t="s">
        <v>353</v>
      </c>
      <c r="E79" s="0" t="n">
        <v>9</v>
      </c>
      <c r="F79" s="0" t="n">
        <v>5</v>
      </c>
      <c r="G79" s="0" t="s">
        <v>221</v>
      </c>
      <c r="H79" s="0" t="n">
        <f aca="false">IF(SUMPRODUCT(--ISNUMBER(SEARCH(Keywords!B$3:B$7,$D79)))&gt;0,1,0)</f>
        <v>0</v>
      </c>
      <c r="I79" s="0" t="n">
        <f aca="false">IF(SUMPRODUCT(--ISNUMBER(SEARCH(Keywords!C$3:C$7,$D79)))&gt;0,1,0)</f>
        <v>0</v>
      </c>
      <c r="J79" s="0" t="n">
        <f aca="false">IF(SUMPRODUCT(--ISNUMBER(SEARCH(Keywords!D$3:D$7,$D79)))&gt;0,1,0)</f>
        <v>0</v>
      </c>
      <c r="K79" s="0" t="n">
        <f aca="false">IF(SUMPRODUCT(--ISNUMBER(SEARCH(Keywords!E$3:E$7,$D79)))&gt;0,1,0)</f>
        <v>0</v>
      </c>
      <c r="L79" s="0" t="n">
        <f aca="false">IF(SUMPRODUCT(--ISNUMBER(SEARCH(Keywords!F$3:F$7,$D79)))&gt;0,1,0)</f>
        <v>1</v>
      </c>
      <c r="M79" s="0" t="n">
        <f aca="false">IF(SUMPRODUCT(--ISNUMBER(SEARCH(Keywords!G$3:G$7,$D79)))&gt;0,1,0)</f>
        <v>0</v>
      </c>
      <c r="N79" s="0" t="n">
        <f aca="false">SUM(H79:M79)</f>
        <v>1</v>
      </c>
      <c r="O79" s="0" t="str">
        <f aca="false">IF(N79=0,"Other",INDEX($H$2:$M$2,MATCH(1,H79:M79,0)))</f>
        <v>Sign-in or verification</v>
      </c>
    </row>
    <row r="80" customFormat="false" ht="15" hidden="false" customHeight="false" outlineLevel="0" collapsed="false">
      <c r="A80" s="0" t="s">
        <v>365</v>
      </c>
      <c r="B80" s="0" t="n">
        <v>5</v>
      </c>
      <c r="C80" s="0" t="s">
        <v>219</v>
      </c>
      <c r="D80" s="0" t="s">
        <v>220</v>
      </c>
      <c r="E80" s="0" t="n">
        <v>7</v>
      </c>
      <c r="F80" s="0" t="n">
        <v>4</v>
      </c>
      <c r="G80" s="0" t="s">
        <v>221</v>
      </c>
      <c r="H80" s="0" t="n">
        <f aca="false">IF(SUMPRODUCT(--ISNUMBER(SEARCH(Keywords!B$3:B$7,$D80)))&gt;0,1,0)</f>
        <v>1</v>
      </c>
      <c r="I80" s="0" t="n">
        <f aca="false">IF(SUMPRODUCT(--ISNUMBER(SEARCH(Keywords!C$3:C$7,$D80)))&gt;0,1,0)</f>
        <v>0</v>
      </c>
      <c r="J80" s="0" t="n">
        <f aca="false">IF(SUMPRODUCT(--ISNUMBER(SEARCH(Keywords!D$3:D$7,$D80)))&gt;0,1,0)</f>
        <v>0</v>
      </c>
      <c r="K80" s="0" t="n">
        <f aca="false">IF(SUMPRODUCT(--ISNUMBER(SEARCH(Keywords!E$3:E$7,$D80)))&gt;0,1,0)</f>
        <v>0</v>
      </c>
      <c r="L80" s="0" t="n">
        <f aca="false">IF(SUMPRODUCT(--ISNUMBER(SEARCH(Keywords!F$3:F$7,$D80)))&gt;0,1,0)</f>
        <v>0</v>
      </c>
      <c r="M80" s="0" t="n">
        <f aca="false">IF(SUMPRODUCT(--ISNUMBER(SEARCH(Keywords!G$3:G$7,$D80)))&gt;0,1,0)</f>
        <v>0</v>
      </c>
      <c r="N80" s="0" t="n">
        <f aca="false">SUM(H80:M80)</f>
        <v>1</v>
      </c>
      <c r="O80" s="0" t="str">
        <f aca="false">IF(N80=0,"Other",INDEX($H$2:$M$2,MATCH(1,H80:M80,0)))</f>
        <v>Market data</v>
      </c>
    </row>
    <row r="81" customFormat="false" ht="15" hidden="false" customHeight="false" outlineLevel="0" collapsed="false">
      <c r="A81" s="0" t="s">
        <v>366</v>
      </c>
      <c r="B81" s="0" t="n">
        <v>5</v>
      </c>
      <c r="C81" s="0" t="s">
        <v>219</v>
      </c>
      <c r="D81" s="0" t="s">
        <v>367</v>
      </c>
      <c r="E81" s="0" t="n">
        <v>16</v>
      </c>
      <c r="F81" s="0" t="n">
        <v>3</v>
      </c>
      <c r="G81" s="0" t="s">
        <v>221</v>
      </c>
      <c r="H81" s="0" t="n">
        <f aca="false">IF(SUMPRODUCT(--ISNUMBER(SEARCH(Keywords!B$3:B$7,$D81)))&gt;0,1,0)</f>
        <v>1</v>
      </c>
      <c r="I81" s="0" t="n">
        <f aca="false">IF(SUMPRODUCT(--ISNUMBER(SEARCH(Keywords!C$3:C$7,$D81)))&gt;0,1,0)</f>
        <v>0</v>
      </c>
      <c r="J81" s="0" t="n">
        <f aca="false">IF(SUMPRODUCT(--ISNUMBER(SEARCH(Keywords!D$3:D$7,$D81)))&gt;0,1,0)</f>
        <v>0</v>
      </c>
      <c r="K81" s="0" t="n">
        <f aca="false">IF(SUMPRODUCT(--ISNUMBER(SEARCH(Keywords!E$3:E$7,$D81)))&gt;0,1,0)</f>
        <v>0</v>
      </c>
      <c r="L81" s="0" t="n">
        <f aca="false">IF(SUMPRODUCT(--ISNUMBER(SEARCH(Keywords!F$3:F$7,$D81)))&gt;0,1,0)</f>
        <v>0</v>
      </c>
      <c r="M81" s="0" t="n">
        <f aca="false">IF(SUMPRODUCT(--ISNUMBER(SEARCH(Keywords!G$3:G$7,$D81)))&gt;0,1,0)</f>
        <v>1</v>
      </c>
      <c r="N81" s="0" t="n">
        <f aca="false">SUM(H81:M81)</f>
        <v>2</v>
      </c>
      <c r="O81" s="0" t="str">
        <f aca="false">IF(N81=0,"Other",INDEX($H$2:$M$2,MATCH(1,H81:M81,0)))</f>
        <v>Market data</v>
      </c>
    </row>
    <row r="82" customFormat="false" ht="15" hidden="false" customHeight="false" outlineLevel="0" collapsed="false">
      <c r="A82" s="0" t="s">
        <v>368</v>
      </c>
      <c r="B82" s="0" t="n">
        <v>5</v>
      </c>
      <c r="C82" s="0" t="s">
        <v>230</v>
      </c>
      <c r="D82" s="0" t="s">
        <v>369</v>
      </c>
      <c r="E82" s="0" t="n">
        <v>14</v>
      </c>
      <c r="F82" s="0" t="n">
        <v>3</v>
      </c>
      <c r="G82" s="0" t="s">
        <v>221</v>
      </c>
      <c r="H82" s="0" t="n">
        <f aca="false">IF(SUMPRODUCT(--ISNUMBER(SEARCH(Keywords!B$3:B$7,$D82)))&gt;0,1,0)</f>
        <v>1</v>
      </c>
      <c r="I82" s="0" t="n">
        <f aca="false">IF(SUMPRODUCT(--ISNUMBER(SEARCH(Keywords!C$3:C$7,$D82)))&gt;0,1,0)</f>
        <v>0</v>
      </c>
      <c r="J82" s="0" t="n">
        <f aca="false">IF(SUMPRODUCT(--ISNUMBER(SEARCH(Keywords!D$3:D$7,$D82)))&gt;0,1,0)</f>
        <v>0</v>
      </c>
      <c r="K82" s="0" t="n">
        <f aca="false">IF(SUMPRODUCT(--ISNUMBER(SEARCH(Keywords!E$3:E$7,$D82)))&gt;0,1,0)</f>
        <v>0</v>
      </c>
      <c r="L82" s="0" t="n">
        <f aca="false">IF(SUMPRODUCT(--ISNUMBER(SEARCH(Keywords!F$3:F$7,$D82)))&gt;0,1,0)</f>
        <v>0</v>
      </c>
      <c r="M82" s="0" t="n">
        <f aca="false">IF(SUMPRODUCT(--ISNUMBER(SEARCH(Keywords!G$3:G$7,$D82)))&gt;0,1,0)</f>
        <v>0</v>
      </c>
      <c r="N82" s="0" t="n">
        <f aca="false">SUM(H82:M82)</f>
        <v>1</v>
      </c>
      <c r="O82" s="0" t="str">
        <f aca="false">IF(N82=0,"Other",INDEX($H$2:$M$2,MATCH(1,H82:M82,0)))</f>
        <v>Market data</v>
      </c>
    </row>
    <row r="83" customFormat="false" ht="15" hidden="false" customHeight="false" outlineLevel="0" collapsed="false">
      <c r="A83" s="0" t="s">
        <v>370</v>
      </c>
      <c r="B83" s="0" t="n">
        <v>5</v>
      </c>
      <c r="C83" s="0" t="s">
        <v>230</v>
      </c>
      <c r="D83" s="0" t="s">
        <v>371</v>
      </c>
      <c r="E83" s="0" t="n">
        <v>20</v>
      </c>
      <c r="F83" s="0" t="n">
        <v>3</v>
      </c>
      <c r="G83" s="0" t="s">
        <v>221</v>
      </c>
      <c r="H83" s="0" t="n">
        <f aca="false">IF(SUMPRODUCT(--ISNUMBER(SEARCH(Keywords!B$3:B$7,$D83)))&gt;0,1,0)</f>
        <v>1</v>
      </c>
      <c r="I83" s="0" t="n">
        <f aca="false">IF(SUMPRODUCT(--ISNUMBER(SEARCH(Keywords!C$3:C$7,$D83)))&gt;0,1,0)</f>
        <v>0</v>
      </c>
      <c r="J83" s="0" t="n">
        <f aca="false">IF(SUMPRODUCT(--ISNUMBER(SEARCH(Keywords!D$3:D$7,$D83)))&gt;0,1,0)</f>
        <v>0</v>
      </c>
      <c r="K83" s="0" t="n">
        <f aca="false">IF(SUMPRODUCT(--ISNUMBER(SEARCH(Keywords!E$3:E$7,$D83)))&gt;0,1,0)</f>
        <v>0</v>
      </c>
      <c r="L83" s="0" t="n">
        <f aca="false">IF(SUMPRODUCT(--ISNUMBER(SEARCH(Keywords!F$3:F$7,$D83)))&gt;0,1,0)</f>
        <v>0</v>
      </c>
      <c r="M83" s="0" t="n">
        <f aca="false">IF(SUMPRODUCT(--ISNUMBER(SEARCH(Keywords!G$3:G$7,$D83)))&gt;0,1,0)</f>
        <v>0</v>
      </c>
      <c r="N83" s="0" t="n">
        <f aca="false">SUM(H83:M83)</f>
        <v>1</v>
      </c>
      <c r="O83" s="0" t="str">
        <f aca="false">IF(N83=0,"Other",INDEX($H$2:$M$2,MATCH(1,H83:M83,0)))</f>
        <v>Market data</v>
      </c>
    </row>
    <row r="84" customFormat="false" ht="15" hidden="false" customHeight="false" outlineLevel="0" collapsed="false">
      <c r="A84" s="0" t="s">
        <v>372</v>
      </c>
      <c r="B84" s="0" t="n">
        <v>5</v>
      </c>
      <c r="C84" s="0" t="s">
        <v>219</v>
      </c>
      <c r="D84" s="0" t="s">
        <v>341</v>
      </c>
      <c r="E84" s="0" t="n">
        <v>19</v>
      </c>
      <c r="F84" s="0" t="n">
        <v>2</v>
      </c>
      <c r="G84" s="0" t="s">
        <v>224</v>
      </c>
      <c r="H84" s="0" t="n">
        <f aca="false">IF(SUMPRODUCT(--ISNUMBER(SEARCH(Keywords!B$3:B$7,$D84)))&gt;0,1,0)</f>
        <v>0</v>
      </c>
      <c r="I84" s="0" t="n">
        <f aca="false">IF(SUMPRODUCT(--ISNUMBER(SEARCH(Keywords!C$3:C$7,$D84)))&gt;0,1,0)</f>
        <v>0</v>
      </c>
      <c r="J84" s="0" t="n">
        <f aca="false">IF(SUMPRODUCT(--ISNUMBER(SEARCH(Keywords!D$3:D$7,$D84)))&gt;0,1,0)</f>
        <v>1</v>
      </c>
      <c r="K84" s="0" t="n">
        <f aca="false">IF(SUMPRODUCT(--ISNUMBER(SEARCH(Keywords!E$3:E$7,$D84)))&gt;0,1,0)</f>
        <v>0</v>
      </c>
      <c r="L84" s="0" t="n">
        <f aca="false">IF(SUMPRODUCT(--ISNUMBER(SEARCH(Keywords!F$3:F$7,$D84)))&gt;0,1,0)</f>
        <v>0</v>
      </c>
      <c r="M84" s="0" t="n">
        <f aca="false">IF(SUMPRODUCT(--ISNUMBER(SEARCH(Keywords!G$3:G$7,$D84)))&gt;0,1,0)</f>
        <v>0</v>
      </c>
      <c r="N84" s="0" t="n">
        <f aca="false">SUM(H84:M84)</f>
        <v>1</v>
      </c>
      <c r="O84" s="0" t="str">
        <f aca="false">IF(N84=0,"Other",INDEX($H$2:$M$2,MATCH(1,H84:M84,0)))</f>
        <v>Closure or limit reason</v>
      </c>
    </row>
    <row r="85" customFormat="false" ht="15" hidden="false" customHeight="false" outlineLevel="0" collapsed="false">
      <c r="A85" s="0" t="s">
        <v>373</v>
      </c>
      <c r="B85" s="0" t="n">
        <v>5</v>
      </c>
      <c r="C85" s="0" t="s">
        <v>230</v>
      </c>
      <c r="D85" s="0" t="s">
        <v>374</v>
      </c>
      <c r="E85" s="0" t="n">
        <v>19</v>
      </c>
      <c r="F85" s="0" t="n">
        <v>2</v>
      </c>
      <c r="G85" s="0" t="s">
        <v>221</v>
      </c>
      <c r="H85" s="0" t="n">
        <f aca="false">IF(SUMPRODUCT(--ISNUMBER(SEARCH(Keywords!B$3:B$7,$D85)))&gt;0,1,0)</f>
        <v>1</v>
      </c>
      <c r="I85" s="0" t="n">
        <f aca="false">IF(SUMPRODUCT(--ISNUMBER(SEARCH(Keywords!C$3:C$7,$D85)))&gt;0,1,0)</f>
        <v>0</v>
      </c>
      <c r="J85" s="0" t="n">
        <f aca="false">IF(SUMPRODUCT(--ISNUMBER(SEARCH(Keywords!D$3:D$7,$D85)))&gt;0,1,0)</f>
        <v>0</v>
      </c>
      <c r="K85" s="0" t="n">
        <f aca="false">IF(SUMPRODUCT(--ISNUMBER(SEARCH(Keywords!E$3:E$7,$D85)))&gt;0,1,0)</f>
        <v>0</v>
      </c>
      <c r="L85" s="0" t="n">
        <f aca="false">IF(SUMPRODUCT(--ISNUMBER(SEARCH(Keywords!F$3:F$7,$D85)))&gt;0,1,0)</f>
        <v>0</v>
      </c>
      <c r="M85" s="0" t="n">
        <f aca="false">IF(SUMPRODUCT(--ISNUMBER(SEARCH(Keywords!G$3:G$7,$D85)))&gt;0,1,0)</f>
        <v>0</v>
      </c>
      <c r="N85" s="0" t="n">
        <f aca="false">SUM(H85:M85)</f>
        <v>1</v>
      </c>
      <c r="O85" s="0" t="str">
        <f aca="false">IF(N85=0,"Other",INDEX($H$2:$M$2,MATCH(1,H85:M85,0)))</f>
        <v>Market data</v>
      </c>
    </row>
    <row r="86" customFormat="false" ht="15" hidden="false" customHeight="false" outlineLevel="0" collapsed="false">
      <c r="A86" s="0" t="s">
        <v>375</v>
      </c>
      <c r="B86" s="0" t="n">
        <v>5</v>
      </c>
      <c r="C86" s="0" t="s">
        <v>219</v>
      </c>
      <c r="D86" s="0" t="s">
        <v>339</v>
      </c>
      <c r="E86" s="0" t="n">
        <v>12</v>
      </c>
      <c r="F86" s="0" t="n">
        <v>4</v>
      </c>
      <c r="G86" s="0" t="s">
        <v>224</v>
      </c>
      <c r="H86" s="0" t="n">
        <f aca="false">IF(SUMPRODUCT(--ISNUMBER(SEARCH(Keywords!B$3:B$7,$D86)))&gt;0,1,0)</f>
        <v>0</v>
      </c>
      <c r="I86" s="0" t="n">
        <f aca="false">IF(SUMPRODUCT(--ISNUMBER(SEARCH(Keywords!C$3:C$7,$D86)))&gt;0,1,0)</f>
        <v>1</v>
      </c>
      <c r="J86" s="0" t="n">
        <f aca="false">IF(SUMPRODUCT(--ISNUMBER(SEARCH(Keywords!D$3:D$7,$D86)))&gt;0,1,0)</f>
        <v>0</v>
      </c>
      <c r="K86" s="0" t="n">
        <f aca="false">IF(SUMPRODUCT(--ISNUMBER(SEARCH(Keywords!E$3:E$7,$D86)))&gt;0,1,0)</f>
        <v>0</v>
      </c>
      <c r="L86" s="0" t="n">
        <f aca="false">IF(SUMPRODUCT(--ISNUMBER(SEARCH(Keywords!F$3:F$7,$D86)))&gt;0,1,0)</f>
        <v>0</v>
      </c>
      <c r="M86" s="0" t="n">
        <f aca="false">IF(SUMPRODUCT(--ISNUMBER(SEARCH(Keywords!G$3:G$7,$D86)))&gt;0,1,0)</f>
        <v>0</v>
      </c>
      <c r="N86" s="0" t="n">
        <f aca="false">SUM(H86:M86)</f>
        <v>1</v>
      </c>
      <c r="O86" s="0" t="str">
        <f aca="false">IF(N86=0,"Other",INDEX($H$2:$M$2,MATCH(1,H86:M86,0)))</f>
        <v>Account status</v>
      </c>
    </row>
    <row r="87" customFormat="false" ht="15" hidden="false" customHeight="false" outlineLevel="0" collapsed="false">
      <c r="A87" s="0" t="s">
        <v>376</v>
      </c>
      <c r="B87" s="0" t="n">
        <v>5</v>
      </c>
      <c r="C87" s="0" t="s">
        <v>219</v>
      </c>
      <c r="D87" s="0" t="s">
        <v>353</v>
      </c>
      <c r="E87" s="0" t="n">
        <v>12</v>
      </c>
      <c r="F87" s="0" t="n">
        <v>3</v>
      </c>
      <c r="G87" s="0" t="s">
        <v>221</v>
      </c>
      <c r="H87" s="0" t="n">
        <f aca="false">IF(SUMPRODUCT(--ISNUMBER(SEARCH(Keywords!B$3:B$7,$D87)))&gt;0,1,0)</f>
        <v>0</v>
      </c>
      <c r="I87" s="0" t="n">
        <f aca="false">IF(SUMPRODUCT(--ISNUMBER(SEARCH(Keywords!C$3:C$7,$D87)))&gt;0,1,0)</f>
        <v>0</v>
      </c>
      <c r="J87" s="0" t="n">
        <f aca="false">IF(SUMPRODUCT(--ISNUMBER(SEARCH(Keywords!D$3:D$7,$D87)))&gt;0,1,0)</f>
        <v>0</v>
      </c>
      <c r="K87" s="0" t="n">
        <f aca="false">IF(SUMPRODUCT(--ISNUMBER(SEARCH(Keywords!E$3:E$7,$D87)))&gt;0,1,0)</f>
        <v>0</v>
      </c>
      <c r="L87" s="0" t="n">
        <f aca="false">IF(SUMPRODUCT(--ISNUMBER(SEARCH(Keywords!F$3:F$7,$D87)))&gt;0,1,0)</f>
        <v>1</v>
      </c>
      <c r="M87" s="0" t="n">
        <f aca="false">IF(SUMPRODUCT(--ISNUMBER(SEARCH(Keywords!G$3:G$7,$D87)))&gt;0,1,0)</f>
        <v>0</v>
      </c>
      <c r="N87" s="0" t="n">
        <f aca="false">SUM(H87:M87)</f>
        <v>1</v>
      </c>
      <c r="O87" s="0" t="str">
        <f aca="false">IF(N87=0,"Other",INDEX($H$2:$M$2,MATCH(1,H87:M87,0)))</f>
        <v>Sign-in or verification</v>
      </c>
    </row>
    <row r="88" customFormat="false" ht="15" hidden="false" customHeight="false" outlineLevel="0" collapsed="false">
      <c r="A88" s="0" t="s">
        <v>377</v>
      </c>
      <c r="B88" s="0" t="n">
        <v>5</v>
      </c>
      <c r="C88" s="0" t="s">
        <v>219</v>
      </c>
      <c r="D88" s="0" t="s">
        <v>282</v>
      </c>
      <c r="E88" s="0" t="n">
        <v>11</v>
      </c>
      <c r="F88" s="0" t="n">
        <v>4</v>
      </c>
      <c r="G88" s="0" t="s">
        <v>224</v>
      </c>
      <c r="H88" s="0" t="n">
        <f aca="false">IF(SUMPRODUCT(--ISNUMBER(SEARCH(Keywords!B$3:B$7,$D88)))&gt;0,1,0)</f>
        <v>0</v>
      </c>
      <c r="I88" s="0" t="n">
        <f aca="false">IF(SUMPRODUCT(--ISNUMBER(SEARCH(Keywords!C$3:C$7,$D88)))&gt;0,1,0)</f>
        <v>0</v>
      </c>
      <c r="J88" s="0" t="n">
        <f aca="false">IF(SUMPRODUCT(--ISNUMBER(SEARCH(Keywords!D$3:D$7,$D88)))&gt;0,1,0)</f>
        <v>0</v>
      </c>
      <c r="K88" s="0" t="n">
        <f aca="false">IF(SUMPRODUCT(--ISNUMBER(SEARCH(Keywords!E$3:E$7,$D88)))&gt;0,1,0)</f>
        <v>1</v>
      </c>
      <c r="L88" s="0" t="n">
        <f aca="false">IF(SUMPRODUCT(--ISNUMBER(SEARCH(Keywords!F$3:F$7,$D88)))&gt;0,1,0)</f>
        <v>0</v>
      </c>
      <c r="M88" s="0" t="n">
        <f aca="false">IF(SUMPRODUCT(--ISNUMBER(SEARCH(Keywords!G$3:G$7,$D88)))&gt;0,1,0)</f>
        <v>0</v>
      </c>
      <c r="N88" s="0" t="n">
        <f aca="false">SUM(H88:M88)</f>
        <v>1</v>
      </c>
      <c r="O88" s="0" t="str">
        <f aca="false">IF(N88=0,"Other",INDEX($H$2:$M$2,MATCH(1,H88:M88,0)))</f>
        <v>Payout or review</v>
      </c>
    </row>
    <row r="89" customFormat="false" ht="15" hidden="false" customHeight="false" outlineLevel="0" collapsed="false">
      <c r="A89" s="0" t="s">
        <v>378</v>
      </c>
      <c r="B89" s="0" t="n">
        <v>5</v>
      </c>
      <c r="C89" s="0" t="s">
        <v>230</v>
      </c>
      <c r="D89" s="0" t="s">
        <v>379</v>
      </c>
      <c r="E89" s="0" t="n">
        <v>15</v>
      </c>
      <c r="F89" s="0" t="n">
        <v>5</v>
      </c>
      <c r="G89" s="0" t="s">
        <v>224</v>
      </c>
      <c r="H89" s="0" t="n">
        <f aca="false">IF(SUMPRODUCT(--ISNUMBER(SEARCH(Keywords!B$3:B$7,$D89)))&gt;0,1,0)</f>
        <v>0</v>
      </c>
      <c r="I89" s="0" t="n">
        <f aca="false">IF(SUMPRODUCT(--ISNUMBER(SEARCH(Keywords!C$3:C$7,$D89)))&gt;0,1,0)</f>
        <v>1</v>
      </c>
      <c r="J89" s="0" t="n">
        <f aca="false">IF(SUMPRODUCT(--ISNUMBER(SEARCH(Keywords!D$3:D$7,$D89)))&gt;0,1,0)</f>
        <v>0</v>
      </c>
      <c r="K89" s="0" t="n">
        <f aca="false">IF(SUMPRODUCT(--ISNUMBER(SEARCH(Keywords!E$3:E$7,$D89)))&gt;0,1,0)</f>
        <v>0</v>
      </c>
      <c r="L89" s="0" t="n">
        <f aca="false">IF(SUMPRODUCT(--ISNUMBER(SEARCH(Keywords!F$3:F$7,$D89)))&gt;0,1,0)</f>
        <v>0</v>
      </c>
      <c r="M89" s="0" t="n">
        <f aca="false">IF(SUMPRODUCT(--ISNUMBER(SEARCH(Keywords!G$3:G$7,$D89)))&gt;0,1,0)</f>
        <v>0</v>
      </c>
      <c r="N89" s="0" t="n">
        <f aca="false">SUM(H89:M89)</f>
        <v>1</v>
      </c>
      <c r="O89" s="0" t="str">
        <f aca="false">IF(N89=0,"Other",INDEX($H$2:$M$2,MATCH(1,H89:M89,0)))</f>
        <v>Account status</v>
      </c>
    </row>
    <row r="90" customFormat="false" ht="15" hidden="false" customHeight="false" outlineLevel="0" collapsed="false">
      <c r="A90" s="0" t="s">
        <v>380</v>
      </c>
      <c r="B90" s="0" t="n">
        <v>5</v>
      </c>
      <c r="C90" s="0" t="s">
        <v>230</v>
      </c>
      <c r="D90" s="0" t="s">
        <v>381</v>
      </c>
      <c r="E90" s="0" t="n">
        <v>10</v>
      </c>
      <c r="F90" s="0" t="n">
        <v>5</v>
      </c>
      <c r="G90" s="0" t="s">
        <v>224</v>
      </c>
      <c r="H90" s="0" t="n">
        <f aca="false">IF(SUMPRODUCT(--ISNUMBER(SEARCH(Keywords!B$3:B$7,$D90)))&gt;0,1,0)</f>
        <v>0</v>
      </c>
      <c r="I90" s="0" t="n">
        <f aca="false">IF(SUMPRODUCT(--ISNUMBER(SEARCH(Keywords!C$3:C$7,$D90)))&gt;0,1,0)</f>
        <v>0</v>
      </c>
      <c r="J90" s="0" t="n">
        <f aca="false">IF(SUMPRODUCT(--ISNUMBER(SEARCH(Keywords!D$3:D$7,$D90)))&gt;0,1,0)</f>
        <v>0</v>
      </c>
      <c r="K90" s="0" t="n">
        <f aca="false">IF(SUMPRODUCT(--ISNUMBER(SEARCH(Keywords!E$3:E$7,$D90)))&gt;0,1,0)</f>
        <v>0</v>
      </c>
      <c r="L90" s="0" t="n">
        <f aca="false">IF(SUMPRODUCT(--ISNUMBER(SEARCH(Keywords!F$3:F$7,$D90)))&gt;0,1,0)</f>
        <v>0</v>
      </c>
      <c r="M90" s="0" t="n">
        <f aca="false">IF(SUMPRODUCT(--ISNUMBER(SEARCH(Keywords!G$3:G$7,$D90)))&gt;0,1,0)</f>
        <v>1</v>
      </c>
      <c r="N90" s="0" t="n">
        <f aca="false">SUM(H90:M90)</f>
        <v>1</v>
      </c>
      <c r="O90" s="0" t="str">
        <f aca="false">IF(N90=0,"Other",INDEX($H$2:$M$2,MATCH(1,H90:M90,0)))</f>
        <v>Platform setup</v>
      </c>
    </row>
    <row r="91" customFormat="false" ht="15" hidden="false" customHeight="false" outlineLevel="0" collapsed="false">
      <c r="A91" s="0" t="s">
        <v>382</v>
      </c>
      <c r="B91" s="0" t="n">
        <v>5</v>
      </c>
      <c r="C91" s="0" t="s">
        <v>230</v>
      </c>
      <c r="D91" s="0" t="s">
        <v>337</v>
      </c>
      <c r="E91" s="0" t="n">
        <v>19</v>
      </c>
      <c r="F91" s="0" t="n">
        <v>4</v>
      </c>
      <c r="G91" s="0" t="s">
        <v>221</v>
      </c>
      <c r="H91" s="0" t="n">
        <f aca="false">IF(SUMPRODUCT(--ISNUMBER(SEARCH(Keywords!B$3:B$7,$D91)))&gt;0,1,0)</f>
        <v>1</v>
      </c>
      <c r="I91" s="0" t="n">
        <f aca="false">IF(SUMPRODUCT(--ISNUMBER(SEARCH(Keywords!C$3:C$7,$D91)))&gt;0,1,0)</f>
        <v>0</v>
      </c>
      <c r="J91" s="0" t="n">
        <f aca="false">IF(SUMPRODUCT(--ISNUMBER(SEARCH(Keywords!D$3:D$7,$D91)))&gt;0,1,0)</f>
        <v>0</v>
      </c>
      <c r="K91" s="0" t="n">
        <f aca="false">IF(SUMPRODUCT(--ISNUMBER(SEARCH(Keywords!E$3:E$7,$D91)))&gt;0,1,0)</f>
        <v>0</v>
      </c>
      <c r="L91" s="0" t="n">
        <f aca="false">IF(SUMPRODUCT(--ISNUMBER(SEARCH(Keywords!F$3:F$7,$D91)))&gt;0,1,0)</f>
        <v>0</v>
      </c>
      <c r="M91" s="0" t="n">
        <f aca="false">IF(SUMPRODUCT(--ISNUMBER(SEARCH(Keywords!G$3:G$7,$D91)))&gt;0,1,0)</f>
        <v>0</v>
      </c>
      <c r="N91" s="0" t="n">
        <f aca="false">SUM(H91:M91)</f>
        <v>1</v>
      </c>
      <c r="O91" s="0" t="str">
        <f aca="false">IF(N91=0,"Other",INDEX($H$2:$M$2,MATCH(1,H91:M91,0)))</f>
        <v>Market data</v>
      </c>
    </row>
    <row r="92" customFormat="false" ht="15" hidden="false" customHeight="false" outlineLevel="0" collapsed="false">
      <c r="A92" s="0" t="s">
        <v>383</v>
      </c>
      <c r="B92" s="0" t="n">
        <v>5</v>
      </c>
      <c r="C92" s="0" t="s">
        <v>230</v>
      </c>
      <c r="D92" s="0" t="s">
        <v>384</v>
      </c>
      <c r="E92" s="0" t="n">
        <v>19</v>
      </c>
      <c r="F92" s="0" t="n">
        <v>2</v>
      </c>
      <c r="G92" s="0" t="s">
        <v>221</v>
      </c>
      <c r="H92" s="0" t="n">
        <f aca="false">IF(SUMPRODUCT(--ISNUMBER(SEARCH(Keywords!B$3:B$7,$D92)))&gt;0,1,0)</f>
        <v>0</v>
      </c>
      <c r="I92" s="0" t="n">
        <f aca="false">IF(SUMPRODUCT(--ISNUMBER(SEARCH(Keywords!C$3:C$7,$D92)))&gt;0,1,0)</f>
        <v>0</v>
      </c>
      <c r="J92" s="0" t="n">
        <f aca="false">IF(SUMPRODUCT(--ISNUMBER(SEARCH(Keywords!D$3:D$7,$D92)))&gt;0,1,0)</f>
        <v>1</v>
      </c>
      <c r="K92" s="0" t="n">
        <f aca="false">IF(SUMPRODUCT(--ISNUMBER(SEARCH(Keywords!E$3:E$7,$D92)))&gt;0,1,0)</f>
        <v>0</v>
      </c>
      <c r="L92" s="0" t="n">
        <f aca="false">IF(SUMPRODUCT(--ISNUMBER(SEARCH(Keywords!F$3:F$7,$D92)))&gt;0,1,0)</f>
        <v>0</v>
      </c>
      <c r="M92" s="0" t="n">
        <f aca="false">IF(SUMPRODUCT(--ISNUMBER(SEARCH(Keywords!G$3:G$7,$D92)))&gt;0,1,0)</f>
        <v>0</v>
      </c>
      <c r="N92" s="0" t="n">
        <f aca="false">SUM(H92:M92)</f>
        <v>1</v>
      </c>
      <c r="O92" s="0" t="str">
        <f aca="false">IF(N92=0,"Other",INDEX($H$2:$M$2,MATCH(1,H92:M92,0)))</f>
        <v>Closure or limit reason</v>
      </c>
    </row>
    <row r="93" customFormat="false" ht="15" hidden="false" customHeight="false" outlineLevel="0" collapsed="false">
      <c r="A93" s="0" t="s">
        <v>385</v>
      </c>
      <c r="B93" s="0" t="n">
        <v>5</v>
      </c>
      <c r="C93" s="0" t="s">
        <v>230</v>
      </c>
      <c r="D93" s="0" t="s">
        <v>386</v>
      </c>
      <c r="E93" s="0" t="n">
        <v>12</v>
      </c>
      <c r="F93" s="0" t="n">
        <v>4</v>
      </c>
      <c r="G93" s="0" t="s">
        <v>221</v>
      </c>
      <c r="H93" s="0" t="n">
        <f aca="false">IF(SUMPRODUCT(--ISNUMBER(SEARCH(Keywords!B$3:B$7,$D93)))&gt;0,1,0)</f>
        <v>0</v>
      </c>
      <c r="I93" s="0" t="n">
        <f aca="false">IF(SUMPRODUCT(--ISNUMBER(SEARCH(Keywords!C$3:C$7,$D93)))&gt;0,1,0)</f>
        <v>0</v>
      </c>
      <c r="J93" s="0" t="n">
        <f aca="false">IF(SUMPRODUCT(--ISNUMBER(SEARCH(Keywords!D$3:D$7,$D93)))&gt;0,1,0)</f>
        <v>0</v>
      </c>
      <c r="K93" s="0" t="n">
        <f aca="false">IF(SUMPRODUCT(--ISNUMBER(SEARCH(Keywords!E$3:E$7,$D93)))&gt;0,1,0)</f>
        <v>1</v>
      </c>
      <c r="L93" s="0" t="n">
        <f aca="false">IF(SUMPRODUCT(--ISNUMBER(SEARCH(Keywords!F$3:F$7,$D93)))&gt;0,1,0)</f>
        <v>0</v>
      </c>
      <c r="M93" s="0" t="n">
        <f aca="false">IF(SUMPRODUCT(--ISNUMBER(SEARCH(Keywords!G$3:G$7,$D93)))&gt;0,1,0)</f>
        <v>0</v>
      </c>
      <c r="N93" s="0" t="n">
        <f aca="false">SUM(H93:M93)</f>
        <v>1</v>
      </c>
      <c r="O93" s="0" t="str">
        <f aca="false">IF(N93=0,"Other",INDEX($H$2:$M$2,MATCH(1,H93:M93,0)))</f>
        <v>Payout or review</v>
      </c>
    </row>
    <row r="94" customFormat="false" ht="15" hidden="false" customHeight="false" outlineLevel="0" collapsed="false">
      <c r="A94" s="0" t="s">
        <v>387</v>
      </c>
      <c r="B94" s="0" t="n">
        <v>5</v>
      </c>
      <c r="C94" s="0" t="s">
        <v>219</v>
      </c>
      <c r="D94" s="0" t="s">
        <v>388</v>
      </c>
      <c r="E94" s="0" t="n">
        <v>7</v>
      </c>
      <c r="F94" s="0" t="n">
        <v>5</v>
      </c>
      <c r="G94" s="0" t="s">
        <v>221</v>
      </c>
      <c r="H94" s="0" t="n">
        <f aca="false">IF(SUMPRODUCT(--ISNUMBER(SEARCH(Keywords!B$3:B$7,$D94)))&gt;0,1,0)</f>
        <v>0</v>
      </c>
      <c r="I94" s="0" t="n">
        <f aca="false">IF(SUMPRODUCT(--ISNUMBER(SEARCH(Keywords!C$3:C$7,$D94)))&gt;0,1,0)</f>
        <v>0</v>
      </c>
      <c r="J94" s="0" t="n">
        <f aca="false">IF(SUMPRODUCT(--ISNUMBER(SEARCH(Keywords!D$3:D$7,$D94)))&gt;0,1,0)</f>
        <v>0</v>
      </c>
      <c r="K94" s="0" t="n">
        <f aca="false">IF(SUMPRODUCT(--ISNUMBER(SEARCH(Keywords!E$3:E$7,$D94)))&gt;0,1,0)</f>
        <v>0</v>
      </c>
      <c r="L94" s="0" t="n">
        <f aca="false">IF(SUMPRODUCT(--ISNUMBER(SEARCH(Keywords!F$3:F$7,$D94)))&gt;0,1,0)</f>
        <v>0</v>
      </c>
      <c r="M94" s="0" t="n">
        <f aca="false">IF(SUMPRODUCT(--ISNUMBER(SEARCH(Keywords!G$3:G$7,$D94)))&gt;0,1,0)</f>
        <v>0</v>
      </c>
      <c r="N94" s="0" t="n">
        <f aca="false">SUM(H94:M94)</f>
        <v>0</v>
      </c>
      <c r="O94" s="0" t="str">
        <f aca="false">IF(N94=0,"Other",INDEX($H$2:$M$2,MATCH(1,H94:M94,0)))</f>
        <v>Other</v>
      </c>
    </row>
    <row r="95" customFormat="false" ht="15" hidden="false" customHeight="false" outlineLevel="0" collapsed="false">
      <c r="A95" s="0" t="s">
        <v>389</v>
      </c>
      <c r="B95" s="0" t="n">
        <v>5</v>
      </c>
      <c r="C95" s="0" t="s">
        <v>230</v>
      </c>
      <c r="D95" s="0" t="s">
        <v>390</v>
      </c>
      <c r="E95" s="0" t="n">
        <v>8</v>
      </c>
      <c r="F95" s="0" t="n">
        <v>5</v>
      </c>
      <c r="G95" s="0" t="s">
        <v>221</v>
      </c>
      <c r="H95" s="0" t="n">
        <f aca="false">IF(SUMPRODUCT(--ISNUMBER(SEARCH(Keywords!B$3:B$7,$D95)))&gt;0,1,0)</f>
        <v>0</v>
      </c>
      <c r="I95" s="0" t="n">
        <f aca="false">IF(SUMPRODUCT(--ISNUMBER(SEARCH(Keywords!C$3:C$7,$D95)))&gt;0,1,0)</f>
        <v>0</v>
      </c>
      <c r="J95" s="0" t="n">
        <f aca="false">IF(SUMPRODUCT(--ISNUMBER(SEARCH(Keywords!D$3:D$7,$D95)))&gt;0,1,0)</f>
        <v>0</v>
      </c>
      <c r="K95" s="0" t="n">
        <f aca="false">IF(SUMPRODUCT(--ISNUMBER(SEARCH(Keywords!E$3:E$7,$D95)))&gt;0,1,0)</f>
        <v>0</v>
      </c>
      <c r="L95" s="0" t="n">
        <f aca="false">IF(SUMPRODUCT(--ISNUMBER(SEARCH(Keywords!F$3:F$7,$D95)))&gt;0,1,0)</f>
        <v>0</v>
      </c>
      <c r="M95" s="0" t="n">
        <f aca="false">IF(SUMPRODUCT(--ISNUMBER(SEARCH(Keywords!G$3:G$7,$D95)))&gt;0,1,0)</f>
        <v>1</v>
      </c>
      <c r="N95" s="0" t="n">
        <f aca="false">SUM(H95:M95)</f>
        <v>1</v>
      </c>
      <c r="O95" s="0" t="str">
        <f aca="false">IF(N95=0,"Other",INDEX($H$2:$M$2,MATCH(1,H95:M95,0)))</f>
        <v>Platform setup</v>
      </c>
    </row>
    <row r="96" customFormat="false" ht="15" hidden="false" customHeight="false" outlineLevel="0" collapsed="false">
      <c r="A96" s="0" t="s">
        <v>391</v>
      </c>
      <c r="B96" s="0" t="n">
        <v>5</v>
      </c>
      <c r="C96" s="0" t="s">
        <v>219</v>
      </c>
      <c r="D96" s="0" t="s">
        <v>392</v>
      </c>
      <c r="E96" s="0" t="n">
        <v>18</v>
      </c>
      <c r="F96" s="0" t="n">
        <v>2</v>
      </c>
      <c r="G96" s="0" t="s">
        <v>224</v>
      </c>
      <c r="H96" s="0" t="n">
        <f aca="false">IF(SUMPRODUCT(--ISNUMBER(SEARCH(Keywords!B$3:B$7,$D96)))&gt;0,1,0)</f>
        <v>0</v>
      </c>
      <c r="I96" s="0" t="n">
        <f aca="false">IF(SUMPRODUCT(--ISNUMBER(SEARCH(Keywords!C$3:C$7,$D96)))&gt;0,1,0)</f>
        <v>0</v>
      </c>
      <c r="J96" s="0" t="n">
        <f aca="false">IF(SUMPRODUCT(--ISNUMBER(SEARCH(Keywords!D$3:D$7,$D96)))&gt;0,1,0)</f>
        <v>1</v>
      </c>
      <c r="K96" s="0" t="n">
        <f aca="false">IF(SUMPRODUCT(--ISNUMBER(SEARCH(Keywords!E$3:E$7,$D96)))&gt;0,1,0)</f>
        <v>0</v>
      </c>
      <c r="L96" s="0" t="n">
        <f aca="false">IF(SUMPRODUCT(--ISNUMBER(SEARCH(Keywords!F$3:F$7,$D96)))&gt;0,1,0)</f>
        <v>0</v>
      </c>
      <c r="M96" s="0" t="n">
        <f aca="false">IF(SUMPRODUCT(--ISNUMBER(SEARCH(Keywords!G$3:G$7,$D96)))&gt;0,1,0)</f>
        <v>0</v>
      </c>
      <c r="N96" s="0" t="n">
        <f aca="false">SUM(H96:M96)</f>
        <v>1</v>
      </c>
      <c r="O96" s="0" t="str">
        <f aca="false">IF(N96=0,"Other",INDEX($H$2:$M$2,MATCH(1,H96:M96,0)))</f>
        <v>Closure or limit reason</v>
      </c>
    </row>
    <row r="97" customFormat="false" ht="15" hidden="false" customHeight="false" outlineLevel="0" collapsed="false">
      <c r="A97" s="0" t="s">
        <v>393</v>
      </c>
      <c r="B97" s="0" t="n">
        <v>5</v>
      </c>
      <c r="C97" s="0" t="s">
        <v>230</v>
      </c>
      <c r="D97" s="0" t="s">
        <v>331</v>
      </c>
      <c r="E97" s="0" t="n">
        <v>13</v>
      </c>
      <c r="F97" s="0" t="n">
        <v>3</v>
      </c>
      <c r="G97" s="0" t="s">
        <v>221</v>
      </c>
      <c r="H97" s="0" t="n">
        <f aca="false">IF(SUMPRODUCT(--ISNUMBER(SEARCH(Keywords!B$3:B$7,$D97)))&gt;0,1,0)</f>
        <v>1</v>
      </c>
      <c r="I97" s="0" t="n">
        <f aca="false">IF(SUMPRODUCT(--ISNUMBER(SEARCH(Keywords!C$3:C$7,$D97)))&gt;0,1,0)</f>
        <v>0</v>
      </c>
      <c r="J97" s="0" t="n">
        <f aca="false">IF(SUMPRODUCT(--ISNUMBER(SEARCH(Keywords!D$3:D$7,$D97)))&gt;0,1,0)</f>
        <v>0</v>
      </c>
      <c r="K97" s="0" t="n">
        <f aca="false">IF(SUMPRODUCT(--ISNUMBER(SEARCH(Keywords!E$3:E$7,$D97)))&gt;0,1,0)</f>
        <v>0</v>
      </c>
      <c r="L97" s="0" t="n">
        <f aca="false">IF(SUMPRODUCT(--ISNUMBER(SEARCH(Keywords!F$3:F$7,$D97)))&gt;0,1,0)</f>
        <v>0</v>
      </c>
      <c r="M97" s="0" t="n">
        <f aca="false">IF(SUMPRODUCT(--ISNUMBER(SEARCH(Keywords!G$3:G$7,$D97)))&gt;0,1,0)</f>
        <v>0</v>
      </c>
      <c r="N97" s="0" t="n">
        <f aca="false">SUM(H97:M97)</f>
        <v>1</v>
      </c>
      <c r="O97" s="0" t="str">
        <f aca="false">IF(N97=0,"Other",INDEX($H$2:$M$2,MATCH(1,H97:M97,0)))</f>
        <v>Market data</v>
      </c>
    </row>
    <row r="98" customFormat="false" ht="15" hidden="false" customHeight="false" outlineLevel="0" collapsed="false">
      <c r="A98" s="0" t="s">
        <v>394</v>
      </c>
      <c r="B98" s="0" t="n">
        <v>5</v>
      </c>
      <c r="C98" s="0" t="s">
        <v>219</v>
      </c>
      <c r="D98" s="0" t="s">
        <v>395</v>
      </c>
      <c r="E98" s="0" t="n">
        <v>10</v>
      </c>
      <c r="F98" s="0" t="n">
        <v>3</v>
      </c>
      <c r="G98" s="0" t="s">
        <v>221</v>
      </c>
      <c r="H98" s="0" t="n">
        <f aca="false">IF(SUMPRODUCT(--ISNUMBER(SEARCH(Keywords!B$3:B$7,$D98)))&gt;0,1,0)</f>
        <v>0</v>
      </c>
      <c r="I98" s="0" t="n">
        <f aca="false">IF(SUMPRODUCT(--ISNUMBER(SEARCH(Keywords!C$3:C$7,$D98)))&gt;0,1,0)</f>
        <v>0</v>
      </c>
      <c r="J98" s="0" t="n">
        <f aca="false">IF(SUMPRODUCT(--ISNUMBER(SEARCH(Keywords!D$3:D$7,$D98)))&gt;0,1,0)</f>
        <v>0</v>
      </c>
      <c r="K98" s="0" t="n">
        <f aca="false">IF(SUMPRODUCT(--ISNUMBER(SEARCH(Keywords!E$3:E$7,$D98)))&gt;0,1,0)</f>
        <v>0</v>
      </c>
      <c r="L98" s="0" t="n">
        <f aca="false">IF(SUMPRODUCT(--ISNUMBER(SEARCH(Keywords!F$3:F$7,$D98)))&gt;0,1,0)</f>
        <v>0</v>
      </c>
      <c r="M98" s="0" t="n">
        <f aca="false">IF(SUMPRODUCT(--ISNUMBER(SEARCH(Keywords!G$3:G$7,$D98)))&gt;0,1,0)</f>
        <v>0</v>
      </c>
      <c r="N98" s="0" t="n">
        <f aca="false">SUM(H98:M98)</f>
        <v>0</v>
      </c>
      <c r="O98" s="0" t="str">
        <f aca="false">IF(N98=0,"Other",INDEX($H$2:$M$2,MATCH(1,H98:M98,0)))</f>
        <v>Other</v>
      </c>
    </row>
    <row r="99" customFormat="false" ht="15" hidden="false" customHeight="false" outlineLevel="0" collapsed="false">
      <c r="A99" s="0" t="s">
        <v>396</v>
      </c>
      <c r="B99" s="0" t="n">
        <v>6</v>
      </c>
      <c r="C99" s="0" t="s">
        <v>230</v>
      </c>
      <c r="D99" s="0" t="s">
        <v>397</v>
      </c>
      <c r="E99" s="0" t="n">
        <v>12</v>
      </c>
      <c r="F99" s="0" t="n">
        <v>5</v>
      </c>
      <c r="G99" s="0" t="s">
        <v>221</v>
      </c>
      <c r="H99" s="0" t="n">
        <f aca="false">IF(SUMPRODUCT(--ISNUMBER(SEARCH(Keywords!B$3:B$7,$D99)))&gt;0,1,0)</f>
        <v>0</v>
      </c>
      <c r="I99" s="0" t="n">
        <f aca="false">IF(SUMPRODUCT(--ISNUMBER(SEARCH(Keywords!C$3:C$7,$D99)))&gt;0,1,0)</f>
        <v>1</v>
      </c>
      <c r="J99" s="0" t="n">
        <f aca="false">IF(SUMPRODUCT(--ISNUMBER(SEARCH(Keywords!D$3:D$7,$D99)))&gt;0,1,0)</f>
        <v>0</v>
      </c>
      <c r="K99" s="0" t="n">
        <f aca="false">IF(SUMPRODUCT(--ISNUMBER(SEARCH(Keywords!E$3:E$7,$D99)))&gt;0,1,0)</f>
        <v>0</v>
      </c>
      <c r="L99" s="0" t="n">
        <f aca="false">IF(SUMPRODUCT(--ISNUMBER(SEARCH(Keywords!F$3:F$7,$D99)))&gt;0,1,0)</f>
        <v>0</v>
      </c>
      <c r="M99" s="0" t="n">
        <f aca="false">IF(SUMPRODUCT(--ISNUMBER(SEARCH(Keywords!G$3:G$7,$D99)))&gt;0,1,0)</f>
        <v>0</v>
      </c>
      <c r="N99" s="0" t="n">
        <f aca="false">SUM(H99:M99)</f>
        <v>1</v>
      </c>
      <c r="O99" s="0" t="str">
        <f aca="false">IF(N99=0,"Other",INDEX($H$2:$M$2,MATCH(1,H99:M99,0)))</f>
        <v>Account status</v>
      </c>
    </row>
    <row r="100" customFormat="false" ht="15" hidden="false" customHeight="false" outlineLevel="0" collapsed="false">
      <c r="A100" s="0" t="s">
        <v>398</v>
      </c>
      <c r="B100" s="0" t="n">
        <v>6</v>
      </c>
      <c r="C100" s="0" t="s">
        <v>230</v>
      </c>
      <c r="D100" s="0" t="s">
        <v>399</v>
      </c>
      <c r="E100" s="0" t="n">
        <v>14</v>
      </c>
      <c r="F100" s="0" t="n">
        <v>2</v>
      </c>
      <c r="G100" s="0" t="s">
        <v>224</v>
      </c>
      <c r="H100" s="0" t="n">
        <f aca="false">IF(SUMPRODUCT(--ISNUMBER(SEARCH(Keywords!B$3:B$7,$D100)))&gt;0,1,0)</f>
        <v>1</v>
      </c>
      <c r="I100" s="0" t="n">
        <f aca="false">IF(SUMPRODUCT(--ISNUMBER(SEARCH(Keywords!C$3:C$7,$D100)))&gt;0,1,0)</f>
        <v>0</v>
      </c>
      <c r="J100" s="0" t="n">
        <f aca="false">IF(SUMPRODUCT(--ISNUMBER(SEARCH(Keywords!D$3:D$7,$D100)))&gt;0,1,0)</f>
        <v>0</v>
      </c>
      <c r="K100" s="0" t="n">
        <f aca="false">IF(SUMPRODUCT(--ISNUMBER(SEARCH(Keywords!E$3:E$7,$D100)))&gt;0,1,0)</f>
        <v>0</v>
      </c>
      <c r="L100" s="0" t="n">
        <f aca="false">IF(SUMPRODUCT(--ISNUMBER(SEARCH(Keywords!F$3:F$7,$D100)))&gt;0,1,0)</f>
        <v>0</v>
      </c>
      <c r="M100" s="0" t="n">
        <f aca="false">IF(SUMPRODUCT(--ISNUMBER(SEARCH(Keywords!G$3:G$7,$D100)))&gt;0,1,0)</f>
        <v>0</v>
      </c>
      <c r="N100" s="0" t="n">
        <f aca="false">SUM(H100:M100)</f>
        <v>1</v>
      </c>
      <c r="O100" s="0" t="str">
        <f aca="false">IF(N100=0,"Other",INDEX($H$2:$M$2,MATCH(1,H100:M100,0)))</f>
        <v>Market data</v>
      </c>
    </row>
    <row r="101" customFormat="false" ht="15" hidden="false" customHeight="false" outlineLevel="0" collapsed="false">
      <c r="A101" s="0" t="s">
        <v>400</v>
      </c>
      <c r="B101" s="0" t="n">
        <v>6</v>
      </c>
      <c r="C101" s="0" t="s">
        <v>219</v>
      </c>
      <c r="D101" s="0" t="s">
        <v>401</v>
      </c>
      <c r="E101" s="0" t="n">
        <v>13</v>
      </c>
      <c r="F101" s="0" t="n">
        <v>3</v>
      </c>
      <c r="G101" s="0" t="s">
        <v>221</v>
      </c>
      <c r="H101" s="0" t="n">
        <f aca="false">IF(SUMPRODUCT(--ISNUMBER(SEARCH(Keywords!B$3:B$7,$D101)))&gt;0,1,0)</f>
        <v>0</v>
      </c>
      <c r="I101" s="0" t="n">
        <f aca="false">IF(SUMPRODUCT(--ISNUMBER(SEARCH(Keywords!C$3:C$7,$D101)))&gt;0,1,0)</f>
        <v>1</v>
      </c>
      <c r="J101" s="0" t="n">
        <f aca="false">IF(SUMPRODUCT(--ISNUMBER(SEARCH(Keywords!D$3:D$7,$D101)))&gt;0,1,0)</f>
        <v>0</v>
      </c>
      <c r="K101" s="0" t="n">
        <f aca="false">IF(SUMPRODUCT(--ISNUMBER(SEARCH(Keywords!E$3:E$7,$D101)))&gt;0,1,0)</f>
        <v>0</v>
      </c>
      <c r="L101" s="0" t="n">
        <f aca="false">IF(SUMPRODUCT(--ISNUMBER(SEARCH(Keywords!F$3:F$7,$D101)))&gt;0,1,0)</f>
        <v>0</v>
      </c>
      <c r="M101" s="0" t="n">
        <f aca="false">IF(SUMPRODUCT(--ISNUMBER(SEARCH(Keywords!G$3:G$7,$D101)))&gt;0,1,0)</f>
        <v>0</v>
      </c>
      <c r="N101" s="0" t="n">
        <f aca="false">SUM(H101:M101)</f>
        <v>1</v>
      </c>
      <c r="O101" s="0" t="str">
        <f aca="false">IF(N101=0,"Other",INDEX($H$2:$M$2,MATCH(1,H101:M101,0)))</f>
        <v>Account status</v>
      </c>
    </row>
    <row r="102" customFormat="false" ht="15" hidden="false" customHeight="false" outlineLevel="0" collapsed="false">
      <c r="A102" s="0" t="s">
        <v>402</v>
      </c>
      <c r="B102" s="0" t="n">
        <v>6</v>
      </c>
      <c r="C102" s="0" t="s">
        <v>219</v>
      </c>
      <c r="D102" s="0" t="s">
        <v>403</v>
      </c>
      <c r="E102" s="0" t="n">
        <v>14</v>
      </c>
      <c r="F102" s="0" t="n">
        <v>3</v>
      </c>
      <c r="G102" s="0" t="s">
        <v>224</v>
      </c>
      <c r="H102" s="0" t="n">
        <f aca="false">IF(SUMPRODUCT(--ISNUMBER(SEARCH(Keywords!B$3:B$7,$D102)))&gt;0,1,0)</f>
        <v>0</v>
      </c>
      <c r="I102" s="0" t="n">
        <f aca="false">IF(SUMPRODUCT(--ISNUMBER(SEARCH(Keywords!C$3:C$7,$D102)))&gt;0,1,0)</f>
        <v>0</v>
      </c>
      <c r="J102" s="0" t="n">
        <f aca="false">IF(SUMPRODUCT(--ISNUMBER(SEARCH(Keywords!D$3:D$7,$D102)))&gt;0,1,0)</f>
        <v>1</v>
      </c>
      <c r="K102" s="0" t="n">
        <f aca="false">IF(SUMPRODUCT(--ISNUMBER(SEARCH(Keywords!E$3:E$7,$D102)))&gt;0,1,0)</f>
        <v>0</v>
      </c>
      <c r="L102" s="0" t="n">
        <f aca="false">IF(SUMPRODUCT(--ISNUMBER(SEARCH(Keywords!F$3:F$7,$D102)))&gt;0,1,0)</f>
        <v>0</v>
      </c>
      <c r="M102" s="0" t="n">
        <f aca="false">IF(SUMPRODUCT(--ISNUMBER(SEARCH(Keywords!G$3:G$7,$D102)))&gt;0,1,0)</f>
        <v>0</v>
      </c>
      <c r="N102" s="0" t="n">
        <f aca="false">SUM(H102:M102)</f>
        <v>1</v>
      </c>
      <c r="O102" s="0" t="str">
        <f aca="false">IF(N102=0,"Other",INDEX($H$2:$M$2,MATCH(1,H102:M102,0)))</f>
        <v>Closure or limit reason</v>
      </c>
    </row>
    <row r="103" customFormat="false" ht="15" hidden="false" customHeight="false" outlineLevel="0" collapsed="false">
      <c r="A103" s="0" t="s">
        <v>404</v>
      </c>
      <c r="B103" s="0" t="n">
        <v>6</v>
      </c>
      <c r="C103" s="0" t="s">
        <v>219</v>
      </c>
      <c r="D103" s="0" t="s">
        <v>405</v>
      </c>
      <c r="E103" s="0" t="n">
        <v>7</v>
      </c>
      <c r="F103" s="0" t="n">
        <v>3</v>
      </c>
      <c r="G103" s="0" t="s">
        <v>221</v>
      </c>
      <c r="H103" s="0" t="n">
        <f aca="false">IF(SUMPRODUCT(--ISNUMBER(SEARCH(Keywords!B$3:B$7,$D103)))&gt;0,1,0)</f>
        <v>0</v>
      </c>
      <c r="I103" s="0" t="n">
        <f aca="false">IF(SUMPRODUCT(--ISNUMBER(SEARCH(Keywords!C$3:C$7,$D103)))&gt;0,1,0)</f>
        <v>0</v>
      </c>
      <c r="J103" s="0" t="n">
        <f aca="false">IF(SUMPRODUCT(--ISNUMBER(SEARCH(Keywords!D$3:D$7,$D103)))&gt;0,1,0)</f>
        <v>0</v>
      </c>
      <c r="K103" s="0" t="n">
        <f aca="false">IF(SUMPRODUCT(--ISNUMBER(SEARCH(Keywords!E$3:E$7,$D103)))&gt;0,1,0)</f>
        <v>0</v>
      </c>
      <c r="L103" s="0" t="n">
        <f aca="false">IF(SUMPRODUCT(--ISNUMBER(SEARCH(Keywords!F$3:F$7,$D103)))&gt;0,1,0)</f>
        <v>0</v>
      </c>
      <c r="M103" s="0" t="n">
        <f aca="false">IF(SUMPRODUCT(--ISNUMBER(SEARCH(Keywords!G$3:G$7,$D103)))&gt;0,1,0)</f>
        <v>0</v>
      </c>
      <c r="N103" s="0" t="n">
        <f aca="false">SUM(H103:M103)</f>
        <v>0</v>
      </c>
      <c r="O103" s="0" t="str">
        <f aca="false">IF(N103=0,"Other",INDEX($H$2:$M$2,MATCH(1,H103:M103,0)))</f>
        <v>Other</v>
      </c>
    </row>
    <row r="104" customFormat="false" ht="15" hidden="false" customHeight="false" outlineLevel="0" collapsed="false">
      <c r="A104" s="0" t="s">
        <v>406</v>
      </c>
      <c r="B104" s="0" t="n">
        <v>6</v>
      </c>
      <c r="C104" s="0" t="s">
        <v>230</v>
      </c>
      <c r="D104" s="0" t="s">
        <v>239</v>
      </c>
      <c r="E104" s="0" t="n">
        <v>13</v>
      </c>
      <c r="F104" s="0" t="n">
        <v>3</v>
      </c>
      <c r="G104" s="0" t="s">
        <v>221</v>
      </c>
      <c r="H104" s="0" t="n">
        <f aca="false">IF(SUMPRODUCT(--ISNUMBER(SEARCH(Keywords!B$3:B$7,$D104)))&gt;0,1,0)</f>
        <v>1</v>
      </c>
      <c r="I104" s="0" t="n">
        <f aca="false">IF(SUMPRODUCT(--ISNUMBER(SEARCH(Keywords!C$3:C$7,$D104)))&gt;0,1,0)</f>
        <v>0</v>
      </c>
      <c r="J104" s="0" t="n">
        <f aca="false">IF(SUMPRODUCT(--ISNUMBER(SEARCH(Keywords!D$3:D$7,$D104)))&gt;0,1,0)</f>
        <v>0</v>
      </c>
      <c r="K104" s="0" t="n">
        <f aca="false">IF(SUMPRODUCT(--ISNUMBER(SEARCH(Keywords!E$3:E$7,$D104)))&gt;0,1,0)</f>
        <v>0</v>
      </c>
      <c r="L104" s="0" t="n">
        <f aca="false">IF(SUMPRODUCT(--ISNUMBER(SEARCH(Keywords!F$3:F$7,$D104)))&gt;0,1,0)</f>
        <v>0</v>
      </c>
      <c r="M104" s="0" t="n">
        <f aca="false">IF(SUMPRODUCT(--ISNUMBER(SEARCH(Keywords!G$3:G$7,$D104)))&gt;0,1,0)</f>
        <v>0</v>
      </c>
      <c r="N104" s="0" t="n">
        <f aca="false">SUM(H104:M104)</f>
        <v>1</v>
      </c>
      <c r="O104" s="0" t="str">
        <f aca="false">IF(N104=0,"Other",INDEX($H$2:$M$2,MATCH(1,H104:M104,0)))</f>
        <v>Market data</v>
      </c>
    </row>
    <row r="105" customFormat="false" ht="15" hidden="false" customHeight="false" outlineLevel="0" collapsed="false">
      <c r="A105" s="0" t="s">
        <v>407</v>
      </c>
      <c r="B105" s="0" t="n">
        <v>6</v>
      </c>
      <c r="C105" s="0" t="s">
        <v>219</v>
      </c>
      <c r="D105" s="0" t="s">
        <v>408</v>
      </c>
      <c r="E105" s="0" t="n">
        <v>9</v>
      </c>
      <c r="F105" s="0" t="n">
        <v>4</v>
      </c>
      <c r="G105" s="0" t="s">
        <v>221</v>
      </c>
      <c r="H105" s="0" t="n">
        <f aca="false">IF(SUMPRODUCT(--ISNUMBER(SEARCH(Keywords!B$3:B$7,$D105)))&gt;0,1,0)</f>
        <v>1</v>
      </c>
      <c r="I105" s="0" t="n">
        <f aca="false">IF(SUMPRODUCT(--ISNUMBER(SEARCH(Keywords!C$3:C$7,$D105)))&gt;0,1,0)</f>
        <v>0</v>
      </c>
      <c r="J105" s="0" t="n">
        <f aca="false">IF(SUMPRODUCT(--ISNUMBER(SEARCH(Keywords!D$3:D$7,$D105)))&gt;0,1,0)</f>
        <v>0</v>
      </c>
      <c r="K105" s="0" t="n">
        <f aca="false">IF(SUMPRODUCT(--ISNUMBER(SEARCH(Keywords!E$3:E$7,$D105)))&gt;0,1,0)</f>
        <v>0</v>
      </c>
      <c r="L105" s="0" t="n">
        <f aca="false">IF(SUMPRODUCT(--ISNUMBER(SEARCH(Keywords!F$3:F$7,$D105)))&gt;0,1,0)</f>
        <v>0</v>
      </c>
      <c r="M105" s="0" t="n">
        <f aca="false">IF(SUMPRODUCT(--ISNUMBER(SEARCH(Keywords!G$3:G$7,$D105)))&gt;0,1,0)</f>
        <v>0</v>
      </c>
      <c r="N105" s="0" t="n">
        <f aca="false">SUM(H105:M105)</f>
        <v>1</v>
      </c>
      <c r="O105" s="0" t="str">
        <f aca="false">IF(N105=0,"Other",INDEX($H$2:$M$2,MATCH(1,H105:M105,0)))</f>
        <v>Market data</v>
      </c>
    </row>
    <row r="106" customFormat="false" ht="15" hidden="false" customHeight="false" outlineLevel="0" collapsed="false">
      <c r="A106" s="0" t="s">
        <v>409</v>
      </c>
      <c r="B106" s="0" t="n">
        <v>6</v>
      </c>
      <c r="C106" s="0" t="s">
        <v>230</v>
      </c>
      <c r="D106" s="0" t="s">
        <v>410</v>
      </c>
      <c r="E106" s="0" t="n">
        <v>15</v>
      </c>
      <c r="F106" s="0" t="n">
        <v>2</v>
      </c>
      <c r="G106" s="0" t="s">
        <v>221</v>
      </c>
      <c r="H106" s="0" t="n">
        <f aca="false">IF(SUMPRODUCT(--ISNUMBER(SEARCH(Keywords!B$3:B$7,$D106)))&gt;0,1,0)</f>
        <v>1</v>
      </c>
      <c r="I106" s="0" t="n">
        <f aca="false">IF(SUMPRODUCT(--ISNUMBER(SEARCH(Keywords!C$3:C$7,$D106)))&gt;0,1,0)</f>
        <v>0</v>
      </c>
      <c r="J106" s="0" t="n">
        <f aca="false">IF(SUMPRODUCT(--ISNUMBER(SEARCH(Keywords!D$3:D$7,$D106)))&gt;0,1,0)</f>
        <v>1</v>
      </c>
      <c r="K106" s="0" t="n">
        <f aca="false">IF(SUMPRODUCT(--ISNUMBER(SEARCH(Keywords!E$3:E$7,$D106)))&gt;0,1,0)</f>
        <v>0</v>
      </c>
      <c r="L106" s="0" t="n">
        <f aca="false">IF(SUMPRODUCT(--ISNUMBER(SEARCH(Keywords!F$3:F$7,$D106)))&gt;0,1,0)</f>
        <v>0</v>
      </c>
      <c r="M106" s="0" t="n">
        <f aca="false">IF(SUMPRODUCT(--ISNUMBER(SEARCH(Keywords!G$3:G$7,$D106)))&gt;0,1,0)</f>
        <v>0</v>
      </c>
      <c r="N106" s="0" t="n">
        <f aca="false">SUM(H106:M106)</f>
        <v>2</v>
      </c>
      <c r="O106" s="0" t="str">
        <f aca="false">IF(N106=0,"Other",INDEX($H$2:$M$2,MATCH(1,H106:M106,0)))</f>
        <v>Market data</v>
      </c>
    </row>
    <row r="107" customFormat="false" ht="15" hidden="false" customHeight="false" outlineLevel="0" collapsed="false">
      <c r="A107" s="0" t="s">
        <v>411</v>
      </c>
      <c r="B107" s="0" t="n">
        <v>6</v>
      </c>
      <c r="C107" s="0" t="s">
        <v>230</v>
      </c>
      <c r="D107" s="0" t="s">
        <v>331</v>
      </c>
      <c r="E107" s="0" t="n">
        <v>10</v>
      </c>
      <c r="F107" s="0" t="n">
        <v>3</v>
      </c>
      <c r="G107" s="0" t="s">
        <v>221</v>
      </c>
      <c r="H107" s="0" t="n">
        <f aca="false">IF(SUMPRODUCT(--ISNUMBER(SEARCH(Keywords!B$3:B$7,$D107)))&gt;0,1,0)</f>
        <v>1</v>
      </c>
      <c r="I107" s="0" t="n">
        <f aca="false">IF(SUMPRODUCT(--ISNUMBER(SEARCH(Keywords!C$3:C$7,$D107)))&gt;0,1,0)</f>
        <v>0</v>
      </c>
      <c r="J107" s="0" t="n">
        <f aca="false">IF(SUMPRODUCT(--ISNUMBER(SEARCH(Keywords!D$3:D$7,$D107)))&gt;0,1,0)</f>
        <v>0</v>
      </c>
      <c r="K107" s="0" t="n">
        <f aca="false">IF(SUMPRODUCT(--ISNUMBER(SEARCH(Keywords!E$3:E$7,$D107)))&gt;0,1,0)</f>
        <v>0</v>
      </c>
      <c r="L107" s="0" t="n">
        <f aca="false">IF(SUMPRODUCT(--ISNUMBER(SEARCH(Keywords!F$3:F$7,$D107)))&gt;0,1,0)</f>
        <v>0</v>
      </c>
      <c r="M107" s="0" t="n">
        <f aca="false">IF(SUMPRODUCT(--ISNUMBER(SEARCH(Keywords!G$3:G$7,$D107)))&gt;0,1,0)</f>
        <v>0</v>
      </c>
      <c r="N107" s="0" t="n">
        <f aca="false">SUM(H107:M107)</f>
        <v>1</v>
      </c>
      <c r="O107" s="0" t="str">
        <f aca="false">IF(N107=0,"Other",INDEX($H$2:$M$2,MATCH(1,H107:M107,0)))</f>
        <v>Market data</v>
      </c>
    </row>
    <row r="108" customFormat="false" ht="15" hidden="false" customHeight="false" outlineLevel="0" collapsed="false">
      <c r="A108" s="0" t="s">
        <v>412</v>
      </c>
      <c r="B108" s="0" t="n">
        <v>6</v>
      </c>
      <c r="C108" s="0" t="s">
        <v>219</v>
      </c>
      <c r="D108" s="0" t="s">
        <v>413</v>
      </c>
      <c r="E108" s="0" t="n">
        <v>9</v>
      </c>
      <c r="F108" s="0" t="n">
        <v>2</v>
      </c>
      <c r="G108" s="0" t="s">
        <v>224</v>
      </c>
      <c r="H108" s="0" t="n">
        <f aca="false">IF(SUMPRODUCT(--ISNUMBER(SEARCH(Keywords!B$3:B$7,$D108)))&gt;0,1,0)</f>
        <v>0</v>
      </c>
      <c r="I108" s="0" t="n">
        <f aca="false">IF(SUMPRODUCT(--ISNUMBER(SEARCH(Keywords!C$3:C$7,$D108)))&gt;0,1,0)</f>
        <v>0</v>
      </c>
      <c r="J108" s="0" t="n">
        <f aca="false">IF(SUMPRODUCT(--ISNUMBER(SEARCH(Keywords!D$3:D$7,$D108)))&gt;0,1,0)</f>
        <v>0</v>
      </c>
      <c r="K108" s="0" t="n">
        <f aca="false">IF(SUMPRODUCT(--ISNUMBER(SEARCH(Keywords!E$3:E$7,$D108)))&gt;0,1,0)</f>
        <v>1</v>
      </c>
      <c r="L108" s="0" t="n">
        <f aca="false">IF(SUMPRODUCT(--ISNUMBER(SEARCH(Keywords!F$3:F$7,$D108)))&gt;0,1,0)</f>
        <v>0</v>
      </c>
      <c r="M108" s="0" t="n">
        <f aca="false">IF(SUMPRODUCT(--ISNUMBER(SEARCH(Keywords!G$3:G$7,$D108)))&gt;0,1,0)</f>
        <v>0</v>
      </c>
      <c r="N108" s="0" t="n">
        <f aca="false">SUM(H108:M108)</f>
        <v>1</v>
      </c>
      <c r="O108" s="0" t="str">
        <f aca="false">IF(N108=0,"Other",INDEX($H$2:$M$2,MATCH(1,H108:M108,0)))</f>
        <v>Payout or review</v>
      </c>
    </row>
    <row r="109" customFormat="false" ht="15" hidden="false" customHeight="false" outlineLevel="0" collapsed="false">
      <c r="A109" s="0" t="s">
        <v>414</v>
      </c>
      <c r="B109" s="0" t="n">
        <v>6</v>
      </c>
      <c r="C109" s="0" t="s">
        <v>230</v>
      </c>
      <c r="D109" s="0" t="s">
        <v>415</v>
      </c>
      <c r="E109" s="0" t="n">
        <v>13</v>
      </c>
      <c r="F109" s="0" t="n">
        <v>4</v>
      </c>
      <c r="G109" s="0" t="s">
        <v>221</v>
      </c>
      <c r="H109" s="0" t="n">
        <f aca="false">IF(SUMPRODUCT(--ISNUMBER(SEARCH(Keywords!B$3:B$7,$D109)))&gt;0,1,0)</f>
        <v>1</v>
      </c>
      <c r="I109" s="0" t="n">
        <f aca="false">IF(SUMPRODUCT(--ISNUMBER(SEARCH(Keywords!C$3:C$7,$D109)))&gt;0,1,0)</f>
        <v>0</v>
      </c>
      <c r="J109" s="0" t="n">
        <f aca="false">IF(SUMPRODUCT(--ISNUMBER(SEARCH(Keywords!D$3:D$7,$D109)))&gt;0,1,0)</f>
        <v>0</v>
      </c>
      <c r="K109" s="0" t="n">
        <f aca="false">IF(SUMPRODUCT(--ISNUMBER(SEARCH(Keywords!E$3:E$7,$D109)))&gt;0,1,0)</f>
        <v>0</v>
      </c>
      <c r="L109" s="0" t="n">
        <f aca="false">IF(SUMPRODUCT(--ISNUMBER(SEARCH(Keywords!F$3:F$7,$D109)))&gt;0,1,0)</f>
        <v>0</v>
      </c>
      <c r="M109" s="0" t="n">
        <f aca="false">IF(SUMPRODUCT(--ISNUMBER(SEARCH(Keywords!G$3:G$7,$D109)))&gt;0,1,0)</f>
        <v>0</v>
      </c>
      <c r="N109" s="0" t="n">
        <f aca="false">SUM(H109:M109)</f>
        <v>1</v>
      </c>
      <c r="O109" s="0" t="str">
        <f aca="false">IF(N109=0,"Other",INDEX($H$2:$M$2,MATCH(1,H109:M109,0)))</f>
        <v>Market data</v>
      </c>
    </row>
    <row r="110" customFormat="false" ht="15" hidden="false" customHeight="false" outlineLevel="0" collapsed="false">
      <c r="A110" s="0" t="s">
        <v>416</v>
      </c>
      <c r="B110" s="0" t="n">
        <v>6</v>
      </c>
      <c r="C110" s="0" t="s">
        <v>230</v>
      </c>
      <c r="D110" s="0" t="s">
        <v>284</v>
      </c>
      <c r="E110" s="0" t="n">
        <v>10</v>
      </c>
      <c r="F110" s="0" t="n">
        <v>3</v>
      </c>
      <c r="G110" s="0" t="s">
        <v>221</v>
      </c>
      <c r="H110" s="0" t="n">
        <f aca="false">IF(SUMPRODUCT(--ISNUMBER(SEARCH(Keywords!B$3:B$7,$D110)))&gt;0,1,0)</f>
        <v>0</v>
      </c>
      <c r="I110" s="0" t="n">
        <f aca="false">IF(SUMPRODUCT(--ISNUMBER(SEARCH(Keywords!C$3:C$7,$D110)))&gt;0,1,0)</f>
        <v>0</v>
      </c>
      <c r="J110" s="0" t="n">
        <f aca="false">IF(SUMPRODUCT(--ISNUMBER(SEARCH(Keywords!D$3:D$7,$D110)))&gt;0,1,0)</f>
        <v>0</v>
      </c>
      <c r="K110" s="0" t="n">
        <f aca="false">IF(SUMPRODUCT(--ISNUMBER(SEARCH(Keywords!E$3:E$7,$D110)))&gt;0,1,0)</f>
        <v>0</v>
      </c>
      <c r="L110" s="0" t="n">
        <f aca="false">IF(SUMPRODUCT(--ISNUMBER(SEARCH(Keywords!F$3:F$7,$D110)))&gt;0,1,0)</f>
        <v>1</v>
      </c>
      <c r="M110" s="0" t="n">
        <f aca="false">IF(SUMPRODUCT(--ISNUMBER(SEARCH(Keywords!G$3:G$7,$D110)))&gt;0,1,0)</f>
        <v>0</v>
      </c>
      <c r="N110" s="0" t="n">
        <f aca="false">SUM(H110:M110)</f>
        <v>1</v>
      </c>
      <c r="O110" s="0" t="str">
        <f aca="false">IF(N110=0,"Other",INDEX($H$2:$M$2,MATCH(1,H110:M110,0)))</f>
        <v>Sign-in or verification</v>
      </c>
    </row>
    <row r="111" customFormat="false" ht="15" hidden="false" customHeight="false" outlineLevel="0" collapsed="false">
      <c r="A111" s="0" t="s">
        <v>417</v>
      </c>
      <c r="B111" s="0" t="n">
        <v>6</v>
      </c>
      <c r="C111" s="0" t="s">
        <v>219</v>
      </c>
      <c r="D111" s="0" t="s">
        <v>282</v>
      </c>
      <c r="E111" s="0" t="n">
        <v>14</v>
      </c>
      <c r="F111" s="0" t="n">
        <v>3</v>
      </c>
      <c r="G111" s="0" t="s">
        <v>221</v>
      </c>
      <c r="H111" s="0" t="n">
        <f aca="false">IF(SUMPRODUCT(--ISNUMBER(SEARCH(Keywords!B$3:B$7,$D111)))&gt;0,1,0)</f>
        <v>0</v>
      </c>
      <c r="I111" s="0" t="n">
        <f aca="false">IF(SUMPRODUCT(--ISNUMBER(SEARCH(Keywords!C$3:C$7,$D111)))&gt;0,1,0)</f>
        <v>0</v>
      </c>
      <c r="J111" s="0" t="n">
        <f aca="false">IF(SUMPRODUCT(--ISNUMBER(SEARCH(Keywords!D$3:D$7,$D111)))&gt;0,1,0)</f>
        <v>0</v>
      </c>
      <c r="K111" s="0" t="n">
        <f aca="false">IF(SUMPRODUCT(--ISNUMBER(SEARCH(Keywords!E$3:E$7,$D111)))&gt;0,1,0)</f>
        <v>1</v>
      </c>
      <c r="L111" s="0" t="n">
        <f aca="false">IF(SUMPRODUCT(--ISNUMBER(SEARCH(Keywords!F$3:F$7,$D111)))&gt;0,1,0)</f>
        <v>0</v>
      </c>
      <c r="M111" s="0" t="n">
        <f aca="false">IF(SUMPRODUCT(--ISNUMBER(SEARCH(Keywords!G$3:G$7,$D111)))&gt;0,1,0)</f>
        <v>0</v>
      </c>
      <c r="N111" s="0" t="n">
        <f aca="false">SUM(H111:M111)</f>
        <v>1</v>
      </c>
      <c r="O111" s="0" t="str">
        <f aca="false">IF(N111=0,"Other",INDEX($H$2:$M$2,MATCH(1,H111:M111,0)))</f>
        <v>Payout or review</v>
      </c>
    </row>
    <row r="112" customFormat="false" ht="15" hidden="false" customHeight="false" outlineLevel="0" collapsed="false">
      <c r="A112" s="0" t="s">
        <v>418</v>
      </c>
      <c r="B112" s="0" t="n">
        <v>6</v>
      </c>
      <c r="C112" s="0" t="s">
        <v>219</v>
      </c>
      <c r="D112" s="0" t="s">
        <v>419</v>
      </c>
      <c r="E112" s="0" t="n">
        <v>12</v>
      </c>
      <c r="F112" s="0" t="n">
        <v>3</v>
      </c>
      <c r="G112" s="0" t="s">
        <v>221</v>
      </c>
      <c r="H112" s="0" t="n">
        <f aca="false">IF(SUMPRODUCT(--ISNUMBER(SEARCH(Keywords!B$3:B$7,$D112)))&gt;0,1,0)</f>
        <v>1</v>
      </c>
      <c r="I112" s="0" t="n">
        <f aca="false">IF(SUMPRODUCT(--ISNUMBER(SEARCH(Keywords!C$3:C$7,$D112)))&gt;0,1,0)</f>
        <v>0</v>
      </c>
      <c r="J112" s="0" t="n">
        <f aca="false">IF(SUMPRODUCT(--ISNUMBER(SEARCH(Keywords!D$3:D$7,$D112)))&gt;0,1,0)</f>
        <v>0</v>
      </c>
      <c r="K112" s="0" t="n">
        <f aca="false">IF(SUMPRODUCT(--ISNUMBER(SEARCH(Keywords!E$3:E$7,$D112)))&gt;0,1,0)</f>
        <v>0</v>
      </c>
      <c r="L112" s="0" t="n">
        <f aca="false">IF(SUMPRODUCT(--ISNUMBER(SEARCH(Keywords!F$3:F$7,$D112)))&gt;0,1,0)</f>
        <v>0</v>
      </c>
      <c r="M112" s="0" t="n">
        <f aca="false">IF(SUMPRODUCT(--ISNUMBER(SEARCH(Keywords!G$3:G$7,$D112)))&gt;0,1,0)</f>
        <v>0</v>
      </c>
      <c r="N112" s="0" t="n">
        <f aca="false">SUM(H112:M112)</f>
        <v>1</v>
      </c>
      <c r="O112" s="0" t="str">
        <f aca="false">IF(N112=0,"Other",INDEX($H$2:$M$2,MATCH(1,H112:M112,0)))</f>
        <v>Market data</v>
      </c>
    </row>
    <row r="113" customFormat="false" ht="15" hidden="false" customHeight="false" outlineLevel="0" collapsed="false">
      <c r="A113" s="0" t="s">
        <v>420</v>
      </c>
      <c r="B113" s="0" t="n">
        <v>6</v>
      </c>
      <c r="C113" s="0" t="s">
        <v>219</v>
      </c>
      <c r="D113" s="0" t="s">
        <v>293</v>
      </c>
      <c r="E113" s="0" t="n">
        <v>17</v>
      </c>
      <c r="F113" s="0" t="n">
        <v>3</v>
      </c>
      <c r="G113" s="0" t="s">
        <v>221</v>
      </c>
      <c r="H113" s="0" t="n">
        <f aca="false">IF(SUMPRODUCT(--ISNUMBER(SEARCH(Keywords!B$3:B$7,$D113)))&gt;0,1,0)</f>
        <v>0</v>
      </c>
      <c r="I113" s="0" t="n">
        <f aca="false">IF(SUMPRODUCT(--ISNUMBER(SEARCH(Keywords!C$3:C$7,$D113)))&gt;0,1,0)</f>
        <v>0</v>
      </c>
      <c r="J113" s="0" t="n">
        <f aca="false">IF(SUMPRODUCT(--ISNUMBER(SEARCH(Keywords!D$3:D$7,$D113)))&gt;0,1,0)</f>
        <v>1</v>
      </c>
      <c r="K113" s="0" t="n">
        <f aca="false">IF(SUMPRODUCT(--ISNUMBER(SEARCH(Keywords!E$3:E$7,$D113)))&gt;0,1,0)</f>
        <v>0</v>
      </c>
      <c r="L113" s="0" t="n">
        <f aca="false">IF(SUMPRODUCT(--ISNUMBER(SEARCH(Keywords!F$3:F$7,$D113)))&gt;0,1,0)</f>
        <v>0</v>
      </c>
      <c r="M113" s="0" t="n">
        <f aca="false">IF(SUMPRODUCT(--ISNUMBER(SEARCH(Keywords!G$3:G$7,$D113)))&gt;0,1,0)</f>
        <v>0</v>
      </c>
      <c r="N113" s="0" t="n">
        <f aca="false">SUM(H113:M113)</f>
        <v>1</v>
      </c>
      <c r="O113" s="0" t="str">
        <f aca="false">IF(N113=0,"Other",INDEX($H$2:$M$2,MATCH(1,H113:M113,0)))</f>
        <v>Closure or limit reason</v>
      </c>
    </row>
    <row r="114" customFormat="false" ht="15" hidden="false" customHeight="false" outlineLevel="0" collapsed="false">
      <c r="A114" s="0" t="s">
        <v>421</v>
      </c>
      <c r="B114" s="0" t="n">
        <v>6</v>
      </c>
      <c r="C114" s="0" t="s">
        <v>230</v>
      </c>
      <c r="D114" s="0" t="s">
        <v>422</v>
      </c>
      <c r="E114" s="0" t="n">
        <v>9</v>
      </c>
      <c r="F114" s="0" t="n">
        <v>5</v>
      </c>
      <c r="G114" s="0" t="s">
        <v>221</v>
      </c>
      <c r="H114" s="0" t="n">
        <f aca="false">IF(SUMPRODUCT(--ISNUMBER(SEARCH(Keywords!B$3:B$7,$D114)))&gt;0,1,0)</f>
        <v>0</v>
      </c>
      <c r="I114" s="0" t="n">
        <f aca="false">IF(SUMPRODUCT(--ISNUMBER(SEARCH(Keywords!C$3:C$7,$D114)))&gt;0,1,0)</f>
        <v>0</v>
      </c>
      <c r="J114" s="0" t="n">
        <f aca="false">IF(SUMPRODUCT(--ISNUMBER(SEARCH(Keywords!D$3:D$7,$D114)))&gt;0,1,0)</f>
        <v>0</v>
      </c>
      <c r="K114" s="0" t="n">
        <f aca="false">IF(SUMPRODUCT(--ISNUMBER(SEARCH(Keywords!E$3:E$7,$D114)))&gt;0,1,0)</f>
        <v>0</v>
      </c>
      <c r="L114" s="0" t="n">
        <f aca="false">IF(SUMPRODUCT(--ISNUMBER(SEARCH(Keywords!F$3:F$7,$D114)))&gt;0,1,0)</f>
        <v>1</v>
      </c>
      <c r="M114" s="0" t="n">
        <f aca="false">IF(SUMPRODUCT(--ISNUMBER(SEARCH(Keywords!G$3:G$7,$D114)))&gt;0,1,0)</f>
        <v>0</v>
      </c>
      <c r="N114" s="0" t="n">
        <f aca="false">SUM(H114:M114)</f>
        <v>1</v>
      </c>
      <c r="O114" s="0" t="str">
        <f aca="false">IF(N114=0,"Other",INDEX($H$2:$M$2,MATCH(1,H114:M114,0)))</f>
        <v>Sign-in or verification</v>
      </c>
    </row>
    <row r="115" customFormat="false" ht="15" hidden="false" customHeight="false" outlineLevel="0" collapsed="false">
      <c r="A115" s="0" t="s">
        <v>423</v>
      </c>
      <c r="B115" s="0" t="n">
        <v>6</v>
      </c>
      <c r="C115" s="0" t="s">
        <v>219</v>
      </c>
      <c r="D115" s="0" t="s">
        <v>424</v>
      </c>
      <c r="E115" s="0" t="n">
        <v>12</v>
      </c>
      <c r="F115" s="0" t="n">
        <v>5</v>
      </c>
      <c r="G115" s="0" t="s">
        <v>221</v>
      </c>
      <c r="H115" s="0" t="n">
        <f aca="false">IF(SUMPRODUCT(--ISNUMBER(SEARCH(Keywords!B$3:B$7,$D115)))&gt;0,1,0)</f>
        <v>0</v>
      </c>
      <c r="I115" s="0" t="n">
        <f aca="false">IF(SUMPRODUCT(--ISNUMBER(SEARCH(Keywords!C$3:C$7,$D115)))&gt;0,1,0)</f>
        <v>1</v>
      </c>
      <c r="J115" s="0" t="n">
        <f aca="false">IF(SUMPRODUCT(--ISNUMBER(SEARCH(Keywords!D$3:D$7,$D115)))&gt;0,1,0)</f>
        <v>0</v>
      </c>
      <c r="K115" s="0" t="n">
        <f aca="false">IF(SUMPRODUCT(--ISNUMBER(SEARCH(Keywords!E$3:E$7,$D115)))&gt;0,1,0)</f>
        <v>0</v>
      </c>
      <c r="L115" s="0" t="n">
        <f aca="false">IF(SUMPRODUCT(--ISNUMBER(SEARCH(Keywords!F$3:F$7,$D115)))&gt;0,1,0)</f>
        <v>0</v>
      </c>
      <c r="M115" s="0" t="n">
        <f aca="false">IF(SUMPRODUCT(--ISNUMBER(SEARCH(Keywords!G$3:G$7,$D115)))&gt;0,1,0)</f>
        <v>0</v>
      </c>
      <c r="N115" s="0" t="n">
        <f aca="false">SUM(H115:M115)</f>
        <v>1</v>
      </c>
      <c r="O115" s="0" t="str">
        <f aca="false">IF(N115=0,"Other",INDEX($H$2:$M$2,MATCH(1,H115:M115,0)))</f>
        <v>Account status</v>
      </c>
    </row>
    <row r="116" customFormat="false" ht="15" hidden="false" customHeight="false" outlineLevel="0" collapsed="false">
      <c r="A116" s="0" t="s">
        <v>425</v>
      </c>
      <c r="B116" s="0" t="n">
        <v>6</v>
      </c>
      <c r="C116" s="0" t="s">
        <v>219</v>
      </c>
      <c r="D116" s="0" t="s">
        <v>426</v>
      </c>
      <c r="E116" s="0" t="n">
        <v>14</v>
      </c>
      <c r="F116" s="0" t="n">
        <v>3</v>
      </c>
      <c r="G116" s="0" t="s">
        <v>221</v>
      </c>
      <c r="H116" s="0" t="n">
        <f aca="false">IF(SUMPRODUCT(--ISNUMBER(SEARCH(Keywords!B$3:B$7,$D116)))&gt;0,1,0)</f>
        <v>0</v>
      </c>
      <c r="I116" s="0" t="n">
        <f aca="false">IF(SUMPRODUCT(--ISNUMBER(SEARCH(Keywords!C$3:C$7,$D116)))&gt;0,1,0)</f>
        <v>0</v>
      </c>
      <c r="J116" s="0" t="n">
        <f aca="false">IF(SUMPRODUCT(--ISNUMBER(SEARCH(Keywords!D$3:D$7,$D116)))&gt;0,1,0)</f>
        <v>0</v>
      </c>
      <c r="K116" s="0" t="n">
        <f aca="false">IF(SUMPRODUCT(--ISNUMBER(SEARCH(Keywords!E$3:E$7,$D116)))&gt;0,1,0)</f>
        <v>1</v>
      </c>
      <c r="L116" s="0" t="n">
        <f aca="false">IF(SUMPRODUCT(--ISNUMBER(SEARCH(Keywords!F$3:F$7,$D116)))&gt;0,1,0)</f>
        <v>0</v>
      </c>
      <c r="M116" s="0" t="n">
        <f aca="false">IF(SUMPRODUCT(--ISNUMBER(SEARCH(Keywords!G$3:G$7,$D116)))&gt;0,1,0)</f>
        <v>0</v>
      </c>
      <c r="N116" s="0" t="n">
        <f aca="false">SUM(H116:M116)</f>
        <v>1</v>
      </c>
      <c r="O116" s="0" t="str">
        <f aca="false">IF(N116=0,"Other",INDEX($H$2:$M$2,MATCH(1,H116:M116,0)))</f>
        <v>Payout or review</v>
      </c>
    </row>
    <row r="117" customFormat="false" ht="15" hidden="false" customHeight="false" outlineLevel="0" collapsed="false">
      <c r="A117" s="0" t="s">
        <v>427</v>
      </c>
      <c r="B117" s="0" t="n">
        <v>6</v>
      </c>
      <c r="C117" s="0" t="s">
        <v>230</v>
      </c>
      <c r="D117" s="0" t="s">
        <v>223</v>
      </c>
      <c r="E117" s="0" t="n">
        <v>17</v>
      </c>
      <c r="F117" s="0" t="n">
        <v>5</v>
      </c>
      <c r="G117" s="0" t="s">
        <v>221</v>
      </c>
      <c r="H117" s="0" t="n">
        <f aca="false">IF(SUMPRODUCT(--ISNUMBER(SEARCH(Keywords!B$3:B$7,$D117)))&gt;0,1,0)</f>
        <v>1</v>
      </c>
      <c r="I117" s="0" t="n">
        <f aca="false">IF(SUMPRODUCT(--ISNUMBER(SEARCH(Keywords!C$3:C$7,$D117)))&gt;0,1,0)</f>
        <v>0</v>
      </c>
      <c r="J117" s="0" t="n">
        <f aca="false">IF(SUMPRODUCT(--ISNUMBER(SEARCH(Keywords!D$3:D$7,$D117)))&gt;0,1,0)</f>
        <v>0</v>
      </c>
      <c r="K117" s="0" t="n">
        <f aca="false">IF(SUMPRODUCT(--ISNUMBER(SEARCH(Keywords!E$3:E$7,$D117)))&gt;0,1,0)</f>
        <v>0</v>
      </c>
      <c r="L117" s="0" t="n">
        <f aca="false">IF(SUMPRODUCT(--ISNUMBER(SEARCH(Keywords!F$3:F$7,$D117)))&gt;0,1,0)</f>
        <v>0</v>
      </c>
      <c r="M117" s="0" t="n">
        <f aca="false">IF(SUMPRODUCT(--ISNUMBER(SEARCH(Keywords!G$3:G$7,$D117)))&gt;0,1,0)</f>
        <v>0</v>
      </c>
      <c r="N117" s="0" t="n">
        <f aca="false">SUM(H117:M117)</f>
        <v>1</v>
      </c>
      <c r="O117" s="0" t="str">
        <f aca="false">IF(N117=0,"Other",INDEX($H$2:$M$2,MATCH(1,H117:M117,0)))</f>
        <v>Market data</v>
      </c>
    </row>
    <row r="118" customFormat="false" ht="15" hidden="false" customHeight="false" outlineLevel="0" collapsed="false">
      <c r="A118" s="0" t="s">
        <v>428</v>
      </c>
      <c r="B118" s="0" t="n">
        <v>6</v>
      </c>
      <c r="C118" s="0" t="s">
        <v>219</v>
      </c>
      <c r="D118" s="0" t="s">
        <v>247</v>
      </c>
      <c r="E118" s="0" t="n">
        <v>13</v>
      </c>
      <c r="F118" s="0" t="n">
        <v>5</v>
      </c>
      <c r="G118" s="0" t="s">
        <v>221</v>
      </c>
      <c r="H118" s="0" t="n">
        <f aca="false">IF(SUMPRODUCT(--ISNUMBER(SEARCH(Keywords!B$3:B$7,$D118)))&gt;0,1,0)</f>
        <v>0</v>
      </c>
      <c r="I118" s="0" t="n">
        <f aca="false">IF(SUMPRODUCT(--ISNUMBER(SEARCH(Keywords!C$3:C$7,$D118)))&gt;0,1,0)</f>
        <v>0</v>
      </c>
      <c r="J118" s="0" t="n">
        <f aca="false">IF(SUMPRODUCT(--ISNUMBER(SEARCH(Keywords!D$3:D$7,$D118)))&gt;0,1,0)</f>
        <v>0</v>
      </c>
      <c r="K118" s="0" t="n">
        <f aca="false">IF(SUMPRODUCT(--ISNUMBER(SEARCH(Keywords!E$3:E$7,$D118)))&gt;0,1,0)</f>
        <v>0</v>
      </c>
      <c r="L118" s="0" t="n">
        <f aca="false">IF(SUMPRODUCT(--ISNUMBER(SEARCH(Keywords!F$3:F$7,$D118)))&gt;0,1,0)</f>
        <v>0</v>
      </c>
      <c r="M118" s="0" t="n">
        <f aca="false">IF(SUMPRODUCT(--ISNUMBER(SEARCH(Keywords!G$3:G$7,$D118)))&gt;0,1,0)</f>
        <v>1</v>
      </c>
      <c r="N118" s="0" t="n">
        <f aca="false">SUM(H118:M118)</f>
        <v>1</v>
      </c>
      <c r="O118" s="0" t="str">
        <f aca="false">IF(N118=0,"Other",INDEX($H$2:$M$2,MATCH(1,H118:M118,0)))</f>
        <v>Platform setup</v>
      </c>
    </row>
    <row r="119" customFormat="false" ht="15" hidden="false" customHeight="false" outlineLevel="0" collapsed="false">
      <c r="A119" s="0" t="s">
        <v>429</v>
      </c>
      <c r="B119" s="0" t="n">
        <v>6</v>
      </c>
      <c r="C119" s="0" t="s">
        <v>219</v>
      </c>
      <c r="D119" s="0" t="s">
        <v>430</v>
      </c>
      <c r="E119" s="0" t="n">
        <v>10</v>
      </c>
      <c r="F119" s="0" t="n">
        <v>4</v>
      </c>
      <c r="G119" s="0" t="s">
        <v>221</v>
      </c>
      <c r="H119" s="0" t="n">
        <f aca="false">IF(SUMPRODUCT(--ISNUMBER(SEARCH(Keywords!B$3:B$7,$D119)))&gt;0,1,0)</f>
        <v>0</v>
      </c>
      <c r="I119" s="0" t="n">
        <f aca="false">IF(SUMPRODUCT(--ISNUMBER(SEARCH(Keywords!C$3:C$7,$D119)))&gt;0,1,0)</f>
        <v>0</v>
      </c>
      <c r="J119" s="0" t="n">
        <f aca="false">IF(SUMPRODUCT(--ISNUMBER(SEARCH(Keywords!D$3:D$7,$D119)))&gt;0,1,0)</f>
        <v>0</v>
      </c>
      <c r="K119" s="0" t="n">
        <f aca="false">IF(SUMPRODUCT(--ISNUMBER(SEARCH(Keywords!E$3:E$7,$D119)))&gt;0,1,0)</f>
        <v>0</v>
      </c>
      <c r="L119" s="0" t="n">
        <f aca="false">IF(SUMPRODUCT(--ISNUMBER(SEARCH(Keywords!F$3:F$7,$D119)))&gt;0,1,0)</f>
        <v>0</v>
      </c>
      <c r="M119" s="0" t="n">
        <f aca="false">IF(SUMPRODUCT(--ISNUMBER(SEARCH(Keywords!G$3:G$7,$D119)))&gt;0,1,0)</f>
        <v>1</v>
      </c>
      <c r="N119" s="0" t="n">
        <f aca="false">SUM(H119:M119)</f>
        <v>1</v>
      </c>
      <c r="O119" s="0" t="str">
        <f aca="false">IF(N119=0,"Other",INDEX($H$2:$M$2,MATCH(1,H119:M119,0)))</f>
        <v>Platform setup</v>
      </c>
    </row>
    <row r="120" customFormat="false" ht="15" hidden="false" customHeight="false" outlineLevel="0" collapsed="false">
      <c r="A120" s="0" t="s">
        <v>431</v>
      </c>
      <c r="B120" s="0" t="n">
        <v>6</v>
      </c>
      <c r="C120" s="0" t="s">
        <v>219</v>
      </c>
      <c r="D120" s="0" t="s">
        <v>432</v>
      </c>
      <c r="E120" s="0" t="n">
        <v>11</v>
      </c>
      <c r="F120" s="0" t="n">
        <v>4</v>
      </c>
      <c r="G120" s="0" t="s">
        <v>221</v>
      </c>
      <c r="H120" s="0" t="n">
        <f aca="false">IF(SUMPRODUCT(--ISNUMBER(SEARCH(Keywords!B$3:B$7,$D120)))&gt;0,1,0)</f>
        <v>1</v>
      </c>
      <c r="I120" s="0" t="n">
        <f aca="false">IF(SUMPRODUCT(--ISNUMBER(SEARCH(Keywords!C$3:C$7,$D120)))&gt;0,1,0)</f>
        <v>0</v>
      </c>
      <c r="J120" s="0" t="n">
        <f aca="false">IF(SUMPRODUCT(--ISNUMBER(SEARCH(Keywords!D$3:D$7,$D120)))&gt;0,1,0)</f>
        <v>0</v>
      </c>
      <c r="K120" s="0" t="n">
        <f aca="false">IF(SUMPRODUCT(--ISNUMBER(SEARCH(Keywords!E$3:E$7,$D120)))&gt;0,1,0)</f>
        <v>0</v>
      </c>
      <c r="L120" s="0" t="n">
        <f aca="false">IF(SUMPRODUCT(--ISNUMBER(SEARCH(Keywords!F$3:F$7,$D120)))&gt;0,1,0)</f>
        <v>0</v>
      </c>
      <c r="M120" s="0" t="n">
        <f aca="false">IF(SUMPRODUCT(--ISNUMBER(SEARCH(Keywords!G$3:G$7,$D120)))&gt;0,1,0)</f>
        <v>0</v>
      </c>
      <c r="N120" s="0" t="n">
        <f aca="false">SUM(H120:M120)</f>
        <v>1</v>
      </c>
      <c r="O120" s="0" t="str">
        <f aca="false">IF(N120=0,"Other",INDEX($H$2:$M$2,MATCH(1,H120:M120,0)))</f>
        <v>Market data</v>
      </c>
    </row>
    <row r="121" customFormat="false" ht="15" hidden="false" customHeight="false" outlineLevel="0" collapsed="false">
      <c r="A121" s="0" t="s">
        <v>433</v>
      </c>
      <c r="B121" s="0" t="n">
        <v>6</v>
      </c>
      <c r="C121" s="0" t="s">
        <v>219</v>
      </c>
      <c r="D121" s="0" t="s">
        <v>434</v>
      </c>
      <c r="E121" s="0" t="n">
        <v>7</v>
      </c>
      <c r="F121" s="0" t="n">
        <v>5</v>
      </c>
      <c r="G121" s="0" t="s">
        <v>221</v>
      </c>
      <c r="H121" s="0" t="n">
        <f aca="false">IF(SUMPRODUCT(--ISNUMBER(SEARCH(Keywords!B$3:B$7,$D121)))&gt;0,1,0)</f>
        <v>0</v>
      </c>
      <c r="I121" s="0" t="n">
        <f aca="false">IF(SUMPRODUCT(--ISNUMBER(SEARCH(Keywords!C$3:C$7,$D121)))&gt;0,1,0)</f>
        <v>0</v>
      </c>
      <c r="J121" s="0" t="n">
        <f aca="false">IF(SUMPRODUCT(--ISNUMBER(SEARCH(Keywords!D$3:D$7,$D121)))&gt;0,1,0)</f>
        <v>0</v>
      </c>
      <c r="K121" s="0" t="n">
        <f aca="false">IF(SUMPRODUCT(--ISNUMBER(SEARCH(Keywords!E$3:E$7,$D121)))&gt;0,1,0)</f>
        <v>0</v>
      </c>
      <c r="L121" s="0" t="n">
        <f aca="false">IF(SUMPRODUCT(--ISNUMBER(SEARCH(Keywords!F$3:F$7,$D121)))&gt;0,1,0)</f>
        <v>0</v>
      </c>
      <c r="M121" s="0" t="n">
        <f aca="false">IF(SUMPRODUCT(--ISNUMBER(SEARCH(Keywords!G$3:G$7,$D121)))&gt;0,1,0)</f>
        <v>0</v>
      </c>
      <c r="N121" s="0" t="n">
        <f aca="false">SUM(H121:M121)</f>
        <v>0</v>
      </c>
      <c r="O121" s="0" t="str">
        <f aca="false">IF(N121=0,"Other",INDEX($H$2:$M$2,MATCH(1,H121:M121,0)))</f>
        <v>Other</v>
      </c>
    </row>
    <row r="122" customFormat="false" ht="15" hidden="false" customHeight="false" outlineLevel="0" collapsed="false">
      <c r="A122" s="0" t="s">
        <v>435</v>
      </c>
      <c r="B122" s="0" t="n">
        <v>6</v>
      </c>
      <c r="C122" s="0" t="s">
        <v>219</v>
      </c>
      <c r="D122" s="0" t="s">
        <v>436</v>
      </c>
      <c r="E122" s="0" t="n">
        <v>13</v>
      </c>
      <c r="F122" s="0" t="n">
        <v>2</v>
      </c>
      <c r="G122" s="0" t="s">
        <v>224</v>
      </c>
      <c r="H122" s="0" t="n">
        <f aca="false">IF(SUMPRODUCT(--ISNUMBER(SEARCH(Keywords!B$3:B$7,$D122)))&gt;0,1,0)</f>
        <v>0</v>
      </c>
      <c r="I122" s="0" t="n">
        <f aca="false">IF(SUMPRODUCT(--ISNUMBER(SEARCH(Keywords!C$3:C$7,$D122)))&gt;0,1,0)</f>
        <v>0</v>
      </c>
      <c r="J122" s="0" t="n">
        <f aca="false">IF(SUMPRODUCT(--ISNUMBER(SEARCH(Keywords!D$3:D$7,$D122)))&gt;0,1,0)</f>
        <v>1</v>
      </c>
      <c r="K122" s="0" t="n">
        <f aca="false">IF(SUMPRODUCT(--ISNUMBER(SEARCH(Keywords!E$3:E$7,$D122)))&gt;0,1,0)</f>
        <v>0</v>
      </c>
      <c r="L122" s="0" t="n">
        <f aca="false">IF(SUMPRODUCT(--ISNUMBER(SEARCH(Keywords!F$3:F$7,$D122)))&gt;0,1,0)</f>
        <v>0</v>
      </c>
      <c r="M122" s="0" t="n">
        <f aca="false">IF(SUMPRODUCT(--ISNUMBER(SEARCH(Keywords!G$3:G$7,$D122)))&gt;0,1,0)</f>
        <v>0</v>
      </c>
      <c r="N122" s="0" t="n">
        <f aca="false">SUM(H122:M122)</f>
        <v>1</v>
      </c>
      <c r="O122" s="0" t="str">
        <f aca="false">IF(N122=0,"Other",INDEX($H$2:$M$2,MATCH(1,H122:M122,0)))</f>
        <v>Closure or limit reason</v>
      </c>
    </row>
    <row r="123" customFormat="false" ht="15" hidden="false" customHeight="false" outlineLevel="0" collapsed="false">
      <c r="A123" s="0" t="s">
        <v>437</v>
      </c>
      <c r="B123" s="0" t="n">
        <v>6</v>
      </c>
      <c r="C123" s="0" t="s">
        <v>230</v>
      </c>
      <c r="D123" s="0" t="s">
        <v>438</v>
      </c>
      <c r="E123" s="0" t="n">
        <v>16</v>
      </c>
      <c r="F123" s="0" t="n">
        <v>4</v>
      </c>
      <c r="G123" s="0" t="s">
        <v>221</v>
      </c>
      <c r="H123" s="0" t="n">
        <f aca="false">IF(SUMPRODUCT(--ISNUMBER(SEARCH(Keywords!B$3:B$7,$D123)))&gt;0,1,0)</f>
        <v>1</v>
      </c>
      <c r="I123" s="0" t="n">
        <f aca="false">IF(SUMPRODUCT(--ISNUMBER(SEARCH(Keywords!C$3:C$7,$D123)))&gt;0,1,0)</f>
        <v>0</v>
      </c>
      <c r="J123" s="0" t="n">
        <f aca="false">IF(SUMPRODUCT(--ISNUMBER(SEARCH(Keywords!D$3:D$7,$D123)))&gt;0,1,0)</f>
        <v>0</v>
      </c>
      <c r="K123" s="0" t="n">
        <f aca="false">IF(SUMPRODUCT(--ISNUMBER(SEARCH(Keywords!E$3:E$7,$D123)))&gt;0,1,0)</f>
        <v>0</v>
      </c>
      <c r="L123" s="0" t="n">
        <f aca="false">IF(SUMPRODUCT(--ISNUMBER(SEARCH(Keywords!F$3:F$7,$D123)))&gt;0,1,0)</f>
        <v>0</v>
      </c>
      <c r="M123" s="0" t="n">
        <f aca="false">IF(SUMPRODUCT(--ISNUMBER(SEARCH(Keywords!G$3:G$7,$D123)))&gt;0,1,0)</f>
        <v>0</v>
      </c>
      <c r="N123" s="0" t="n">
        <f aca="false">SUM(H123:M123)</f>
        <v>1</v>
      </c>
      <c r="O123" s="0" t="str">
        <f aca="false">IF(N123=0,"Other",INDEX($H$2:$M$2,MATCH(1,H123:M123,0)))</f>
        <v>Market data</v>
      </c>
    </row>
    <row r="124" customFormat="false" ht="15" hidden="false" customHeight="false" outlineLevel="0" collapsed="false">
      <c r="A124" s="0" t="s">
        <v>439</v>
      </c>
      <c r="B124" s="0" t="n">
        <v>6</v>
      </c>
      <c r="C124" s="0" t="s">
        <v>230</v>
      </c>
      <c r="D124" s="0" t="s">
        <v>440</v>
      </c>
      <c r="E124" s="0" t="n">
        <v>15</v>
      </c>
      <c r="F124" s="0" t="n">
        <v>4</v>
      </c>
      <c r="G124" s="0" t="s">
        <v>221</v>
      </c>
      <c r="H124" s="0" t="n">
        <f aca="false">IF(SUMPRODUCT(--ISNUMBER(SEARCH(Keywords!B$3:B$7,$D124)))&gt;0,1,0)</f>
        <v>0</v>
      </c>
      <c r="I124" s="0" t="n">
        <f aca="false">IF(SUMPRODUCT(--ISNUMBER(SEARCH(Keywords!C$3:C$7,$D124)))&gt;0,1,0)</f>
        <v>1</v>
      </c>
      <c r="J124" s="0" t="n">
        <f aca="false">IF(SUMPRODUCT(--ISNUMBER(SEARCH(Keywords!D$3:D$7,$D124)))&gt;0,1,0)</f>
        <v>0</v>
      </c>
      <c r="K124" s="0" t="n">
        <f aca="false">IF(SUMPRODUCT(--ISNUMBER(SEARCH(Keywords!E$3:E$7,$D124)))&gt;0,1,0)</f>
        <v>0</v>
      </c>
      <c r="L124" s="0" t="n">
        <f aca="false">IF(SUMPRODUCT(--ISNUMBER(SEARCH(Keywords!F$3:F$7,$D124)))&gt;0,1,0)</f>
        <v>0</v>
      </c>
      <c r="M124" s="0" t="n">
        <f aca="false">IF(SUMPRODUCT(--ISNUMBER(SEARCH(Keywords!G$3:G$7,$D124)))&gt;0,1,0)</f>
        <v>0</v>
      </c>
      <c r="N124" s="0" t="n">
        <f aca="false">SUM(H124:M124)</f>
        <v>1</v>
      </c>
      <c r="O124" s="0" t="str">
        <f aca="false">IF(N124=0,"Other",INDEX($H$2:$M$2,MATCH(1,H124:M124,0)))</f>
        <v>Account status</v>
      </c>
    </row>
    <row r="125" customFormat="false" ht="15" hidden="false" customHeight="false" outlineLevel="0" collapsed="false">
      <c r="A125" s="0" t="s">
        <v>441</v>
      </c>
      <c r="B125" s="0" t="n">
        <v>7</v>
      </c>
      <c r="C125" s="0" t="s">
        <v>230</v>
      </c>
      <c r="D125" s="0" t="s">
        <v>408</v>
      </c>
      <c r="E125" s="0" t="n">
        <v>13</v>
      </c>
      <c r="F125" s="0" t="n">
        <v>2</v>
      </c>
      <c r="G125" s="0" t="s">
        <v>221</v>
      </c>
      <c r="H125" s="0" t="n">
        <f aca="false">IF(SUMPRODUCT(--ISNUMBER(SEARCH(Keywords!B$3:B$7,$D125)))&gt;0,1,0)</f>
        <v>1</v>
      </c>
      <c r="I125" s="0" t="n">
        <f aca="false">IF(SUMPRODUCT(--ISNUMBER(SEARCH(Keywords!C$3:C$7,$D125)))&gt;0,1,0)</f>
        <v>0</v>
      </c>
      <c r="J125" s="0" t="n">
        <f aca="false">IF(SUMPRODUCT(--ISNUMBER(SEARCH(Keywords!D$3:D$7,$D125)))&gt;0,1,0)</f>
        <v>0</v>
      </c>
      <c r="K125" s="0" t="n">
        <f aca="false">IF(SUMPRODUCT(--ISNUMBER(SEARCH(Keywords!E$3:E$7,$D125)))&gt;0,1,0)</f>
        <v>0</v>
      </c>
      <c r="L125" s="0" t="n">
        <f aca="false">IF(SUMPRODUCT(--ISNUMBER(SEARCH(Keywords!F$3:F$7,$D125)))&gt;0,1,0)</f>
        <v>0</v>
      </c>
      <c r="M125" s="0" t="n">
        <f aca="false">IF(SUMPRODUCT(--ISNUMBER(SEARCH(Keywords!G$3:G$7,$D125)))&gt;0,1,0)</f>
        <v>0</v>
      </c>
      <c r="N125" s="0" t="n">
        <f aca="false">SUM(H125:M125)</f>
        <v>1</v>
      </c>
      <c r="O125" s="0" t="str">
        <f aca="false">IF(N125=0,"Other",INDEX($H$2:$M$2,MATCH(1,H125:M125,0)))</f>
        <v>Market data</v>
      </c>
    </row>
    <row r="126" customFormat="false" ht="15" hidden="false" customHeight="false" outlineLevel="0" collapsed="false">
      <c r="A126" s="0" t="s">
        <v>442</v>
      </c>
      <c r="B126" s="0" t="n">
        <v>7</v>
      </c>
      <c r="C126" s="0" t="s">
        <v>219</v>
      </c>
      <c r="D126" s="0" t="s">
        <v>443</v>
      </c>
      <c r="E126" s="0" t="n">
        <v>10</v>
      </c>
      <c r="F126" s="0" t="n">
        <v>4</v>
      </c>
      <c r="G126" s="0" t="s">
        <v>221</v>
      </c>
      <c r="H126" s="0" t="n">
        <f aca="false">IF(SUMPRODUCT(--ISNUMBER(SEARCH(Keywords!B$3:B$7,$D126)))&gt;0,1,0)</f>
        <v>0</v>
      </c>
      <c r="I126" s="0" t="n">
        <f aca="false">IF(SUMPRODUCT(--ISNUMBER(SEARCH(Keywords!C$3:C$7,$D126)))&gt;0,1,0)</f>
        <v>1</v>
      </c>
      <c r="J126" s="0" t="n">
        <f aca="false">IF(SUMPRODUCT(--ISNUMBER(SEARCH(Keywords!D$3:D$7,$D126)))&gt;0,1,0)</f>
        <v>0</v>
      </c>
      <c r="K126" s="0" t="n">
        <f aca="false">IF(SUMPRODUCT(--ISNUMBER(SEARCH(Keywords!E$3:E$7,$D126)))&gt;0,1,0)</f>
        <v>0</v>
      </c>
      <c r="L126" s="0" t="n">
        <f aca="false">IF(SUMPRODUCT(--ISNUMBER(SEARCH(Keywords!F$3:F$7,$D126)))&gt;0,1,0)</f>
        <v>0</v>
      </c>
      <c r="M126" s="0" t="n">
        <f aca="false">IF(SUMPRODUCT(--ISNUMBER(SEARCH(Keywords!G$3:G$7,$D126)))&gt;0,1,0)</f>
        <v>0</v>
      </c>
      <c r="N126" s="0" t="n">
        <f aca="false">SUM(H126:M126)</f>
        <v>1</v>
      </c>
      <c r="O126" s="0" t="str">
        <f aca="false">IF(N126=0,"Other",INDEX($H$2:$M$2,MATCH(1,H126:M126,0)))</f>
        <v>Account status</v>
      </c>
    </row>
    <row r="127" customFormat="false" ht="15" hidden="false" customHeight="false" outlineLevel="0" collapsed="false">
      <c r="A127" s="0" t="s">
        <v>444</v>
      </c>
      <c r="B127" s="0" t="n">
        <v>7</v>
      </c>
      <c r="C127" s="0" t="s">
        <v>219</v>
      </c>
      <c r="D127" s="0" t="s">
        <v>445</v>
      </c>
      <c r="E127" s="0" t="n">
        <v>18</v>
      </c>
      <c r="F127" s="0" t="n">
        <v>2</v>
      </c>
      <c r="G127" s="0" t="s">
        <v>221</v>
      </c>
      <c r="H127" s="0" t="n">
        <f aca="false">IF(SUMPRODUCT(--ISNUMBER(SEARCH(Keywords!B$3:B$7,$D127)))&gt;0,1,0)</f>
        <v>0</v>
      </c>
      <c r="I127" s="0" t="n">
        <f aca="false">IF(SUMPRODUCT(--ISNUMBER(SEARCH(Keywords!C$3:C$7,$D127)))&gt;0,1,0)</f>
        <v>0</v>
      </c>
      <c r="J127" s="0" t="n">
        <f aca="false">IF(SUMPRODUCT(--ISNUMBER(SEARCH(Keywords!D$3:D$7,$D127)))&gt;0,1,0)</f>
        <v>1</v>
      </c>
      <c r="K127" s="0" t="n">
        <f aca="false">IF(SUMPRODUCT(--ISNUMBER(SEARCH(Keywords!E$3:E$7,$D127)))&gt;0,1,0)</f>
        <v>0</v>
      </c>
      <c r="L127" s="0" t="n">
        <f aca="false">IF(SUMPRODUCT(--ISNUMBER(SEARCH(Keywords!F$3:F$7,$D127)))&gt;0,1,0)</f>
        <v>0</v>
      </c>
      <c r="M127" s="0" t="n">
        <f aca="false">IF(SUMPRODUCT(--ISNUMBER(SEARCH(Keywords!G$3:G$7,$D127)))&gt;0,1,0)</f>
        <v>0</v>
      </c>
      <c r="N127" s="0" t="n">
        <f aca="false">SUM(H127:M127)</f>
        <v>1</v>
      </c>
      <c r="O127" s="0" t="str">
        <f aca="false">IF(N127=0,"Other",INDEX($H$2:$M$2,MATCH(1,H127:M127,0)))</f>
        <v>Closure or limit reason</v>
      </c>
    </row>
    <row r="128" customFormat="false" ht="15" hidden="false" customHeight="false" outlineLevel="0" collapsed="false">
      <c r="A128" s="0" t="s">
        <v>446</v>
      </c>
      <c r="B128" s="0" t="n">
        <v>7</v>
      </c>
      <c r="C128" s="0" t="s">
        <v>219</v>
      </c>
      <c r="D128" s="0" t="s">
        <v>447</v>
      </c>
      <c r="E128" s="0" t="n">
        <v>10</v>
      </c>
      <c r="F128" s="0" t="n">
        <v>4</v>
      </c>
      <c r="G128" s="0" t="s">
        <v>224</v>
      </c>
      <c r="H128" s="0" t="n">
        <f aca="false">IF(SUMPRODUCT(--ISNUMBER(SEARCH(Keywords!B$3:B$7,$D128)))&gt;0,1,0)</f>
        <v>0</v>
      </c>
      <c r="I128" s="0" t="n">
        <f aca="false">IF(SUMPRODUCT(--ISNUMBER(SEARCH(Keywords!C$3:C$7,$D128)))&gt;0,1,0)</f>
        <v>0</v>
      </c>
      <c r="J128" s="0" t="n">
        <f aca="false">IF(SUMPRODUCT(--ISNUMBER(SEARCH(Keywords!D$3:D$7,$D128)))&gt;0,1,0)</f>
        <v>0</v>
      </c>
      <c r="K128" s="0" t="n">
        <f aca="false">IF(SUMPRODUCT(--ISNUMBER(SEARCH(Keywords!E$3:E$7,$D128)))&gt;0,1,0)</f>
        <v>0</v>
      </c>
      <c r="L128" s="0" t="n">
        <f aca="false">IF(SUMPRODUCT(--ISNUMBER(SEARCH(Keywords!F$3:F$7,$D128)))&gt;0,1,0)</f>
        <v>1</v>
      </c>
      <c r="M128" s="0" t="n">
        <f aca="false">IF(SUMPRODUCT(--ISNUMBER(SEARCH(Keywords!G$3:G$7,$D128)))&gt;0,1,0)</f>
        <v>0</v>
      </c>
      <c r="N128" s="0" t="n">
        <f aca="false">SUM(H128:M128)</f>
        <v>1</v>
      </c>
      <c r="O128" s="0" t="str">
        <f aca="false">IF(N128=0,"Other",INDEX($H$2:$M$2,MATCH(1,H128:M128,0)))</f>
        <v>Sign-in or verification</v>
      </c>
    </row>
    <row r="129" customFormat="false" ht="15" hidden="false" customHeight="false" outlineLevel="0" collapsed="false">
      <c r="A129" s="0" t="s">
        <v>448</v>
      </c>
      <c r="B129" s="0" t="n">
        <v>7</v>
      </c>
      <c r="C129" s="0" t="s">
        <v>230</v>
      </c>
      <c r="D129" s="0" t="s">
        <v>449</v>
      </c>
      <c r="E129" s="0" t="n">
        <v>10</v>
      </c>
      <c r="F129" s="0" t="n">
        <v>3</v>
      </c>
      <c r="G129" s="0" t="s">
        <v>221</v>
      </c>
      <c r="H129" s="0" t="n">
        <f aca="false">IF(SUMPRODUCT(--ISNUMBER(SEARCH(Keywords!B$3:B$7,$D129)))&gt;0,1,0)</f>
        <v>1</v>
      </c>
      <c r="I129" s="0" t="n">
        <f aca="false">IF(SUMPRODUCT(--ISNUMBER(SEARCH(Keywords!C$3:C$7,$D129)))&gt;0,1,0)</f>
        <v>0</v>
      </c>
      <c r="J129" s="0" t="n">
        <f aca="false">IF(SUMPRODUCT(--ISNUMBER(SEARCH(Keywords!D$3:D$7,$D129)))&gt;0,1,0)</f>
        <v>0</v>
      </c>
      <c r="K129" s="0" t="n">
        <f aca="false">IF(SUMPRODUCT(--ISNUMBER(SEARCH(Keywords!E$3:E$7,$D129)))&gt;0,1,0)</f>
        <v>0</v>
      </c>
      <c r="L129" s="0" t="n">
        <f aca="false">IF(SUMPRODUCT(--ISNUMBER(SEARCH(Keywords!F$3:F$7,$D129)))&gt;0,1,0)</f>
        <v>0</v>
      </c>
      <c r="M129" s="0" t="n">
        <f aca="false">IF(SUMPRODUCT(--ISNUMBER(SEARCH(Keywords!G$3:G$7,$D129)))&gt;0,1,0)</f>
        <v>0</v>
      </c>
      <c r="N129" s="0" t="n">
        <f aca="false">SUM(H129:M129)</f>
        <v>1</v>
      </c>
      <c r="O129" s="0" t="str">
        <f aca="false">IF(N129=0,"Other",INDEX($H$2:$M$2,MATCH(1,H129:M129,0)))</f>
        <v>Market data</v>
      </c>
    </row>
    <row r="130" customFormat="false" ht="15" hidden="false" customHeight="false" outlineLevel="0" collapsed="false">
      <c r="A130" s="0" t="s">
        <v>450</v>
      </c>
      <c r="B130" s="0" t="n">
        <v>7</v>
      </c>
      <c r="C130" s="0" t="s">
        <v>219</v>
      </c>
      <c r="D130" s="0" t="s">
        <v>237</v>
      </c>
      <c r="E130" s="0" t="n">
        <v>12</v>
      </c>
      <c r="F130" s="0" t="n">
        <v>5</v>
      </c>
      <c r="G130" s="0" t="s">
        <v>221</v>
      </c>
      <c r="H130" s="0" t="n">
        <f aca="false">IF(SUMPRODUCT(--ISNUMBER(SEARCH(Keywords!B$3:B$7,$D130)))&gt;0,1,0)</f>
        <v>0</v>
      </c>
      <c r="I130" s="0" t="n">
        <f aca="false">IF(SUMPRODUCT(--ISNUMBER(SEARCH(Keywords!C$3:C$7,$D130)))&gt;0,1,0)</f>
        <v>1</v>
      </c>
      <c r="J130" s="0" t="n">
        <f aca="false">IF(SUMPRODUCT(--ISNUMBER(SEARCH(Keywords!D$3:D$7,$D130)))&gt;0,1,0)</f>
        <v>0</v>
      </c>
      <c r="K130" s="0" t="n">
        <f aca="false">IF(SUMPRODUCT(--ISNUMBER(SEARCH(Keywords!E$3:E$7,$D130)))&gt;0,1,0)</f>
        <v>0</v>
      </c>
      <c r="L130" s="0" t="n">
        <f aca="false">IF(SUMPRODUCT(--ISNUMBER(SEARCH(Keywords!F$3:F$7,$D130)))&gt;0,1,0)</f>
        <v>0</v>
      </c>
      <c r="M130" s="0" t="n">
        <f aca="false">IF(SUMPRODUCT(--ISNUMBER(SEARCH(Keywords!G$3:G$7,$D130)))&gt;0,1,0)</f>
        <v>0</v>
      </c>
      <c r="N130" s="0" t="n">
        <f aca="false">SUM(H130:M130)</f>
        <v>1</v>
      </c>
      <c r="O130" s="0" t="str">
        <f aca="false">IF(N130=0,"Other",INDEX($H$2:$M$2,MATCH(1,H130:M130,0)))</f>
        <v>Account status</v>
      </c>
    </row>
    <row r="131" customFormat="false" ht="15" hidden="false" customHeight="false" outlineLevel="0" collapsed="false">
      <c r="A131" s="0" t="s">
        <v>451</v>
      </c>
      <c r="B131" s="0" t="n">
        <v>7</v>
      </c>
      <c r="C131" s="0" t="s">
        <v>219</v>
      </c>
      <c r="D131" s="0" t="s">
        <v>452</v>
      </c>
      <c r="E131" s="0" t="n">
        <v>14</v>
      </c>
      <c r="F131" s="0" t="n">
        <v>5</v>
      </c>
      <c r="G131" s="0" t="s">
        <v>221</v>
      </c>
      <c r="H131" s="0" t="n">
        <f aca="false">IF(SUMPRODUCT(--ISNUMBER(SEARCH(Keywords!B$3:B$7,$D131)))&gt;0,1,0)</f>
        <v>1</v>
      </c>
      <c r="I131" s="0" t="n">
        <f aca="false">IF(SUMPRODUCT(--ISNUMBER(SEARCH(Keywords!C$3:C$7,$D131)))&gt;0,1,0)</f>
        <v>0</v>
      </c>
      <c r="J131" s="0" t="n">
        <f aca="false">IF(SUMPRODUCT(--ISNUMBER(SEARCH(Keywords!D$3:D$7,$D131)))&gt;0,1,0)</f>
        <v>0</v>
      </c>
      <c r="K131" s="0" t="n">
        <f aca="false">IF(SUMPRODUCT(--ISNUMBER(SEARCH(Keywords!E$3:E$7,$D131)))&gt;0,1,0)</f>
        <v>1</v>
      </c>
      <c r="L131" s="0" t="n">
        <f aca="false">IF(SUMPRODUCT(--ISNUMBER(SEARCH(Keywords!F$3:F$7,$D131)))&gt;0,1,0)</f>
        <v>0</v>
      </c>
      <c r="M131" s="0" t="n">
        <f aca="false">IF(SUMPRODUCT(--ISNUMBER(SEARCH(Keywords!G$3:G$7,$D131)))&gt;0,1,0)</f>
        <v>0</v>
      </c>
      <c r="N131" s="0" t="n">
        <f aca="false">SUM(H131:M131)</f>
        <v>2</v>
      </c>
      <c r="O131" s="0" t="str">
        <f aca="false">IF(N131=0,"Other",INDEX($H$2:$M$2,MATCH(1,H131:M131,0)))</f>
        <v>Market data</v>
      </c>
    </row>
    <row r="132" customFormat="false" ht="15" hidden="false" customHeight="false" outlineLevel="0" collapsed="false">
      <c r="A132" s="0" t="s">
        <v>453</v>
      </c>
      <c r="B132" s="0" t="n">
        <v>7</v>
      </c>
      <c r="C132" s="0" t="s">
        <v>219</v>
      </c>
      <c r="D132" s="0" t="s">
        <v>454</v>
      </c>
      <c r="E132" s="0" t="n">
        <v>11</v>
      </c>
      <c r="F132" s="0" t="n">
        <v>4</v>
      </c>
      <c r="G132" s="0" t="s">
        <v>221</v>
      </c>
      <c r="H132" s="0" t="n">
        <f aca="false">IF(SUMPRODUCT(--ISNUMBER(SEARCH(Keywords!B$3:B$7,$D132)))&gt;0,1,0)</f>
        <v>0</v>
      </c>
      <c r="I132" s="0" t="n">
        <f aca="false">IF(SUMPRODUCT(--ISNUMBER(SEARCH(Keywords!C$3:C$7,$D132)))&gt;0,1,0)</f>
        <v>1</v>
      </c>
      <c r="J132" s="0" t="n">
        <f aca="false">IF(SUMPRODUCT(--ISNUMBER(SEARCH(Keywords!D$3:D$7,$D132)))&gt;0,1,0)</f>
        <v>0</v>
      </c>
      <c r="K132" s="0" t="n">
        <f aca="false">IF(SUMPRODUCT(--ISNUMBER(SEARCH(Keywords!E$3:E$7,$D132)))&gt;0,1,0)</f>
        <v>0</v>
      </c>
      <c r="L132" s="0" t="n">
        <f aca="false">IF(SUMPRODUCT(--ISNUMBER(SEARCH(Keywords!F$3:F$7,$D132)))&gt;0,1,0)</f>
        <v>0</v>
      </c>
      <c r="M132" s="0" t="n">
        <f aca="false">IF(SUMPRODUCT(--ISNUMBER(SEARCH(Keywords!G$3:G$7,$D132)))&gt;0,1,0)</f>
        <v>0</v>
      </c>
      <c r="N132" s="0" t="n">
        <f aca="false">SUM(H132:M132)</f>
        <v>1</v>
      </c>
      <c r="O132" s="0" t="str">
        <f aca="false">IF(N132=0,"Other",INDEX($H$2:$M$2,MATCH(1,H132:M132,0)))</f>
        <v>Account status</v>
      </c>
    </row>
    <row r="133" customFormat="false" ht="15" hidden="false" customHeight="false" outlineLevel="0" collapsed="false">
      <c r="A133" s="0" t="s">
        <v>455</v>
      </c>
      <c r="B133" s="0" t="n">
        <v>7</v>
      </c>
      <c r="C133" s="0" t="s">
        <v>219</v>
      </c>
      <c r="D133" s="0" t="s">
        <v>456</v>
      </c>
      <c r="E133" s="0" t="n">
        <v>21</v>
      </c>
      <c r="F133" s="0" t="n">
        <v>3</v>
      </c>
      <c r="G133" s="0" t="s">
        <v>221</v>
      </c>
      <c r="H133" s="0" t="n">
        <f aca="false">IF(SUMPRODUCT(--ISNUMBER(SEARCH(Keywords!B$3:B$7,$D133)))&gt;0,1,0)</f>
        <v>1</v>
      </c>
      <c r="I133" s="0" t="n">
        <f aca="false">IF(SUMPRODUCT(--ISNUMBER(SEARCH(Keywords!C$3:C$7,$D133)))&gt;0,1,0)</f>
        <v>0</v>
      </c>
      <c r="J133" s="0" t="n">
        <f aca="false">IF(SUMPRODUCT(--ISNUMBER(SEARCH(Keywords!D$3:D$7,$D133)))&gt;0,1,0)</f>
        <v>0</v>
      </c>
      <c r="K133" s="0" t="n">
        <f aca="false">IF(SUMPRODUCT(--ISNUMBER(SEARCH(Keywords!E$3:E$7,$D133)))&gt;0,1,0)</f>
        <v>0</v>
      </c>
      <c r="L133" s="0" t="n">
        <f aca="false">IF(SUMPRODUCT(--ISNUMBER(SEARCH(Keywords!F$3:F$7,$D133)))&gt;0,1,0)</f>
        <v>0</v>
      </c>
      <c r="M133" s="0" t="n">
        <f aca="false">IF(SUMPRODUCT(--ISNUMBER(SEARCH(Keywords!G$3:G$7,$D133)))&gt;0,1,0)</f>
        <v>0</v>
      </c>
      <c r="N133" s="0" t="n">
        <f aca="false">SUM(H133:M133)</f>
        <v>1</v>
      </c>
      <c r="O133" s="0" t="str">
        <f aca="false">IF(N133=0,"Other",INDEX($H$2:$M$2,MATCH(1,H133:M133,0)))</f>
        <v>Market data</v>
      </c>
    </row>
    <row r="134" customFormat="false" ht="15" hidden="false" customHeight="false" outlineLevel="0" collapsed="false">
      <c r="A134" s="0" t="s">
        <v>457</v>
      </c>
      <c r="B134" s="0" t="n">
        <v>7</v>
      </c>
      <c r="C134" s="0" t="s">
        <v>230</v>
      </c>
      <c r="D134" s="0" t="s">
        <v>233</v>
      </c>
      <c r="E134" s="0" t="n">
        <v>21</v>
      </c>
      <c r="F134" s="0" t="n">
        <v>2</v>
      </c>
      <c r="G134" s="0" t="s">
        <v>221</v>
      </c>
      <c r="H134" s="0" t="n">
        <f aca="false">IF(SUMPRODUCT(--ISNUMBER(SEARCH(Keywords!B$3:B$7,$D134)))&gt;0,1,0)</f>
        <v>0</v>
      </c>
      <c r="I134" s="0" t="n">
        <f aca="false">IF(SUMPRODUCT(--ISNUMBER(SEARCH(Keywords!C$3:C$7,$D134)))&gt;0,1,0)</f>
        <v>0</v>
      </c>
      <c r="J134" s="0" t="n">
        <f aca="false">IF(SUMPRODUCT(--ISNUMBER(SEARCH(Keywords!D$3:D$7,$D134)))&gt;0,1,0)</f>
        <v>1</v>
      </c>
      <c r="K134" s="0" t="n">
        <f aca="false">IF(SUMPRODUCT(--ISNUMBER(SEARCH(Keywords!E$3:E$7,$D134)))&gt;0,1,0)</f>
        <v>0</v>
      </c>
      <c r="L134" s="0" t="n">
        <f aca="false">IF(SUMPRODUCT(--ISNUMBER(SEARCH(Keywords!F$3:F$7,$D134)))&gt;0,1,0)</f>
        <v>0</v>
      </c>
      <c r="M134" s="0" t="n">
        <f aca="false">IF(SUMPRODUCT(--ISNUMBER(SEARCH(Keywords!G$3:G$7,$D134)))&gt;0,1,0)</f>
        <v>0</v>
      </c>
      <c r="N134" s="0" t="n">
        <f aca="false">SUM(H134:M134)</f>
        <v>1</v>
      </c>
      <c r="O134" s="0" t="str">
        <f aca="false">IF(N134=0,"Other",INDEX($H$2:$M$2,MATCH(1,H134:M134,0)))</f>
        <v>Closure or limit reason</v>
      </c>
    </row>
    <row r="135" customFormat="false" ht="15" hidden="false" customHeight="false" outlineLevel="0" collapsed="false">
      <c r="A135" s="0" t="s">
        <v>458</v>
      </c>
      <c r="B135" s="0" t="n">
        <v>7</v>
      </c>
      <c r="C135" s="0" t="s">
        <v>219</v>
      </c>
      <c r="D135" s="0" t="s">
        <v>459</v>
      </c>
      <c r="E135" s="0" t="n">
        <v>5</v>
      </c>
      <c r="F135" s="0" t="n">
        <v>4</v>
      </c>
      <c r="G135" s="0" t="s">
        <v>224</v>
      </c>
      <c r="H135" s="0" t="n">
        <f aca="false">IF(SUMPRODUCT(--ISNUMBER(SEARCH(Keywords!B$3:B$7,$D135)))&gt;0,1,0)</f>
        <v>0</v>
      </c>
      <c r="I135" s="0" t="n">
        <f aca="false">IF(SUMPRODUCT(--ISNUMBER(SEARCH(Keywords!C$3:C$7,$D135)))&gt;0,1,0)</f>
        <v>0</v>
      </c>
      <c r="J135" s="0" t="n">
        <f aca="false">IF(SUMPRODUCT(--ISNUMBER(SEARCH(Keywords!D$3:D$7,$D135)))&gt;0,1,0)</f>
        <v>0</v>
      </c>
      <c r="K135" s="0" t="n">
        <f aca="false">IF(SUMPRODUCT(--ISNUMBER(SEARCH(Keywords!E$3:E$7,$D135)))&gt;0,1,0)</f>
        <v>0</v>
      </c>
      <c r="L135" s="0" t="n">
        <f aca="false">IF(SUMPRODUCT(--ISNUMBER(SEARCH(Keywords!F$3:F$7,$D135)))&gt;0,1,0)</f>
        <v>0</v>
      </c>
      <c r="M135" s="0" t="n">
        <f aca="false">IF(SUMPRODUCT(--ISNUMBER(SEARCH(Keywords!G$3:G$7,$D135)))&gt;0,1,0)</f>
        <v>1</v>
      </c>
      <c r="N135" s="0" t="n">
        <f aca="false">SUM(H135:M135)</f>
        <v>1</v>
      </c>
      <c r="O135" s="0" t="str">
        <f aca="false">IF(N135=0,"Other",INDEX($H$2:$M$2,MATCH(1,H135:M135,0)))</f>
        <v>Platform setup</v>
      </c>
    </row>
    <row r="136" customFormat="false" ht="15" hidden="false" customHeight="false" outlineLevel="0" collapsed="false">
      <c r="A136" s="0" t="s">
        <v>460</v>
      </c>
      <c r="B136" s="0" t="n">
        <v>7</v>
      </c>
      <c r="C136" s="0" t="s">
        <v>230</v>
      </c>
      <c r="D136" s="0" t="s">
        <v>461</v>
      </c>
      <c r="E136" s="0" t="n">
        <v>14</v>
      </c>
      <c r="F136" s="0" t="n">
        <v>3</v>
      </c>
      <c r="G136" s="0" t="s">
        <v>221</v>
      </c>
      <c r="H136" s="0" t="n">
        <f aca="false">IF(SUMPRODUCT(--ISNUMBER(SEARCH(Keywords!B$3:B$7,$D136)))&gt;0,1,0)</f>
        <v>0</v>
      </c>
      <c r="I136" s="0" t="n">
        <f aca="false">IF(SUMPRODUCT(--ISNUMBER(SEARCH(Keywords!C$3:C$7,$D136)))&gt;0,1,0)</f>
        <v>0</v>
      </c>
      <c r="J136" s="0" t="n">
        <f aca="false">IF(SUMPRODUCT(--ISNUMBER(SEARCH(Keywords!D$3:D$7,$D136)))&gt;0,1,0)</f>
        <v>0</v>
      </c>
      <c r="K136" s="0" t="n">
        <f aca="false">IF(SUMPRODUCT(--ISNUMBER(SEARCH(Keywords!E$3:E$7,$D136)))&gt;0,1,0)</f>
        <v>1</v>
      </c>
      <c r="L136" s="0" t="n">
        <f aca="false">IF(SUMPRODUCT(--ISNUMBER(SEARCH(Keywords!F$3:F$7,$D136)))&gt;0,1,0)</f>
        <v>0</v>
      </c>
      <c r="M136" s="0" t="n">
        <f aca="false">IF(SUMPRODUCT(--ISNUMBER(SEARCH(Keywords!G$3:G$7,$D136)))&gt;0,1,0)</f>
        <v>0</v>
      </c>
      <c r="N136" s="0" t="n">
        <f aca="false">SUM(H136:M136)</f>
        <v>1</v>
      </c>
      <c r="O136" s="0" t="str">
        <f aca="false">IF(N136=0,"Other",INDEX($H$2:$M$2,MATCH(1,H136:M136,0)))</f>
        <v>Payout or review</v>
      </c>
    </row>
    <row r="137" customFormat="false" ht="15" hidden="false" customHeight="false" outlineLevel="0" collapsed="false">
      <c r="A137" s="0" t="s">
        <v>462</v>
      </c>
      <c r="B137" s="0" t="n">
        <v>7</v>
      </c>
      <c r="C137" s="0" t="s">
        <v>230</v>
      </c>
      <c r="D137" s="0" t="s">
        <v>463</v>
      </c>
      <c r="E137" s="0" t="n">
        <v>16</v>
      </c>
      <c r="F137" s="0" t="n">
        <v>4</v>
      </c>
      <c r="G137" s="0" t="s">
        <v>221</v>
      </c>
      <c r="H137" s="0" t="n">
        <f aca="false">IF(SUMPRODUCT(--ISNUMBER(SEARCH(Keywords!B$3:B$7,$D137)))&gt;0,1,0)</f>
        <v>1</v>
      </c>
      <c r="I137" s="0" t="n">
        <f aca="false">IF(SUMPRODUCT(--ISNUMBER(SEARCH(Keywords!C$3:C$7,$D137)))&gt;0,1,0)</f>
        <v>0</v>
      </c>
      <c r="J137" s="0" t="n">
        <f aca="false">IF(SUMPRODUCT(--ISNUMBER(SEARCH(Keywords!D$3:D$7,$D137)))&gt;0,1,0)</f>
        <v>0</v>
      </c>
      <c r="K137" s="0" t="n">
        <f aca="false">IF(SUMPRODUCT(--ISNUMBER(SEARCH(Keywords!E$3:E$7,$D137)))&gt;0,1,0)</f>
        <v>0</v>
      </c>
      <c r="L137" s="0" t="n">
        <f aca="false">IF(SUMPRODUCT(--ISNUMBER(SEARCH(Keywords!F$3:F$7,$D137)))&gt;0,1,0)</f>
        <v>0</v>
      </c>
      <c r="M137" s="0" t="n">
        <f aca="false">IF(SUMPRODUCT(--ISNUMBER(SEARCH(Keywords!G$3:G$7,$D137)))&gt;0,1,0)</f>
        <v>0</v>
      </c>
      <c r="N137" s="0" t="n">
        <f aca="false">SUM(H137:M137)</f>
        <v>1</v>
      </c>
      <c r="O137" s="0" t="str">
        <f aca="false">IF(N137=0,"Other",INDEX($H$2:$M$2,MATCH(1,H137:M137,0)))</f>
        <v>Market data</v>
      </c>
    </row>
    <row r="138" customFormat="false" ht="15" hidden="false" customHeight="false" outlineLevel="0" collapsed="false">
      <c r="A138" s="0" t="s">
        <v>464</v>
      </c>
      <c r="B138" s="0" t="n">
        <v>7</v>
      </c>
      <c r="C138" s="0" t="s">
        <v>230</v>
      </c>
      <c r="D138" s="0" t="s">
        <v>321</v>
      </c>
      <c r="E138" s="0" t="n">
        <v>11</v>
      </c>
      <c r="F138" s="0" t="n">
        <v>4</v>
      </c>
      <c r="G138" s="0" t="s">
        <v>221</v>
      </c>
      <c r="H138" s="0" t="n">
        <f aca="false">IF(SUMPRODUCT(--ISNUMBER(SEARCH(Keywords!B$3:B$7,$D138)))&gt;0,1,0)</f>
        <v>1</v>
      </c>
      <c r="I138" s="0" t="n">
        <f aca="false">IF(SUMPRODUCT(--ISNUMBER(SEARCH(Keywords!C$3:C$7,$D138)))&gt;0,1,0)</f>
        <v>0</v>
      </c>
      <c r="J138" s="0" t="n">
        <f aca="false">IF(SUMPRODUCT(--ISNUMBER(SEARCH(Keywords!D$3:D$7,$D138)))&gt;0,1,0)</f>
        <v>0</v>
      </c>
      <c r="K138" s="0" t="n">
        <f aca="false">IF(SUMPRODUCT(--ISNUMBER(SEARCH(Keywords!E$3:E$7,$D138)))&gt;0,1,0)</f>
        <v>0</v>
      </c>
      <c r="L138" s="0" t="n">
        <f aca="false">IF(SUMPRODUCT(--ISNUMBER(SEARCH(Keywords!F$3:F$7,$D138)))&gt;0,1,0)</f>
        <v>0</v>
      </c>
      <c r="M138" s="0" t="n">
        <f aca="false">IF(SUMPRODUCT(--ISNUMBER(SEARCH(Keywords!G$3:G$7,$D138)))&gt;0,1,0)</f>
        <v>0</v>
      </c>
      <c r="N138" s="0" t="n">
        <f aca="false">SUM(H138:M138)</f>
        <v>1</v>
      </c>
      <c r="O138" s="0" t="str">
        <f aca="false">IF(N138=0,"Other",INDEX($H$2:$M$2,MATCH(1,H138:M138,0)))</f>
        <v>Market data</v>
      </c>
    </row>
    <row r="139" customFormat="false" ht="15" hidden="false" customHeight="false" outlineLevel="0" collapsed="false">
      <c r="A139" s="0" t="s">
        <v>465</v>
      </c>
      <c r="B139" s="0" t="n">
        <v>7</v>
      </c>
      <c r="C139" s="0" t="s">
        <v>230</v>
      </c>
      <c r="D139" s="0" t="s">
        <v>374</v>
      </c>
      <c r="E139" s="0" t="n">
        <v>11</v>
      </c>
      <c r="F139" s="0" t="n">
        <v>4</v>
      </c>
      <c r="G139" s="0" t="s">
        <v>221</v>
      </c>
      <c r="H139" s="0" t="n">
        <f aca="false">IF(SUMPRODUCT(--ISNUMBER(SEARCH(Keywords!B$3:B$7,$D139)))&gt;0,1,0)</f>
        <v>1</v>
      </c>
      <c r="I139" s="0" t="n">
        <f aca="false">IF(SUMPRODUCT(--ISNUMBER(SEARCH(Keywords!C$3:C$7,$D139)))&gt;0,1,0)</f>
        <v>0</v>
      </c>
      <c r="J139" s="0" t="n">
        <f aca="false">IF(SUMPRODUCT(--ISNUMBER(SEARCH(Keywords!D$3:D$7,$D139)))&gt;0,1,0)</f>
        <v>0</v>
      </c>
      <c r="K139" s="0" t="n">
        <f aca="false">IF(SUMPRODUCT(--ISNUMBER(SEARCH(Keywords!E$3:E$7,$D139)))&gt;0,1,0)</f>
        <v>0</v>
      </c>
      <c r="L139" s="0" t="n">
        <f aca="false">IF(SUMPRODUCT(--ISNUMBER(SEARCH(Keywords!F$3:F$7,$D139)))&gt;0,1,0)</f>
        <v>0</v>
      </c>
      <c r="M139" s="0" t="n">
        <f aca="false">IF(SUMPRODUCT(--ISNUMBER(SEARCH(Keywords!G$3:G$7,$D139)))&gt;0,1,0)</f>
        <v>0</v>
      </c>
      <c r="N139" s="0" t="n">
        <f aca="false">SUM(H139:M139)</f>
        <v>1</v>
      </c>
      <c r="O139" s="0" t="str">
        <f aca="false">IF(N139=0,"Other",INDEX($H$2:$M$2,MATCH(1,H139:M139,0)))</f>
        <v>Market data</v>
      </c>
    </row>
    <row r="140" customFormat="false" ht="15" hidden="false" customHeight="false" outlineLevel="0" collapsed="false">
      <c r="A140" s="0" t="s">
        <v>466</v>
      </c>
      <c r="B140" s="0" t="n">
        <v>7</v>
      </c>
      <c r="C140" s="0" t="s">
        <v>219</v>
      </c>
      <c r="D140" s="0" t="s">
        <v>467</v>
      </c>
      <c r="E140" s="0" t="n">
        <v>9</v>
      </c>
      <c r="F140" s="0" t="n">
        <v>4</v>
      </c>
      <c r="G140" s="0" t="s">
        <v>221</v>
      </c>
      <c r="H140" s="0" t="n">
        <f aca="false">IF(SUMPRODUCT(--ISNUMBER(SEARCH(Keywords!B$3:B$7,$D140)))&gt;0,1,0)</f>
        <v>0</v>
      </c>
      <c r="I140" s="0" t="n">
        <f aca="false">IF(SUMPRODUCT(--ISNUMBER(SEARCH(Keywords!C$3:C$7,$D140)))&gt;0,1,0)</f>
        <v>0</v>
      </c>
      <c r="J140" s="0" t="n">
        <f aca="false">IF(SUMPRODUCT(--ISNUMBER(SEARCH(Keywords!D$3:D$7,$D140)))&gt;0,1,0)</f>
        <v>0</v>
      </c>
      <c r="K140" s="0" t="n">
        <f aca="false">IF(SUMPRODUCT(--ISNUMBER(SEARCH(Keywords!E$3:E$7,$D140)))&gt;0,1,0)</f>
        <v>0</v>
      </c>
      <c r="L140" s="0" t="n">
        <f aca="false">IF(SUMPRODUCT(--ISNUMBER(SEARCH(Keywords!F$3:F$7,$D140)))&gt;0,1,0)</f>
        <v>0</v>
      </c>
      <c r="M140" s="0" t="n">
        <f aca="false">IF(SUMPRODUCT(--ISNUMBER(SEARCH(Keywords!G$3:G$7,$D140)))&gt;0,1,0)</f>
        <v>0</v>
      </c>
      <c r="N140" s="0" t="n">
        <f aca="false">SUM(H140:M140)</f>
        <v>0</v>
      </c>
      <c r="O140" s="0" t="str">
        <f aca="false">IF(N140=0,"Other",INDEX($H$2:$M$2,MATCH(1,H140:M140,0)))</f>
        <v>Other</v>
      </c>
    </row>
    <row r="141" customFormat="false" ht="15" hidden="false" customHeight="false" outlineLevel="0" collapsed="false">
      <c r="A141" s="0" t="s">
        <v>468</v>
      </c>
      <c r="B141" s="0" t="n">
        <v>7</v>
      </c>
      <c r="C141" s="0" t="s">
        <v>219</v>
      </c>
      <c r="D141" s="0" t="s">
        <v>469</v>
      </c>
      <c r="E141" s="0" t="n">
        <v>13</v>
      </c>
      <c r="F141" s="0" t="n">
        <v>5</v>
      </c>
      <c r="G141" s="0" t="s">
        <v>221</v>
      </c>
      <c r="H141" s="0" t="n">
        <f aca="false">IF(SUMPRODUCT(--ISNUMBER(SEARCH(Keywords!B$3:B$7,$D141)))&gt;0,1,0)</f>
        <v>0</v>
      </c>
      <c r="I141" s="0" t="n">
        <f aca="false">IF(SUMPRODUCT(--ISNUMBER(SEARCH(Keywords!C$3:C$7,$D141)))&gt;0,1,0)</f>
        <v>0</v>
      </c>
      <c r="J141" s="0" t="n">
        <f aca="false">IF(SUMPRODUCT(--ISNUMBER(SEARCH(Keywords!D$3:D$7,$D141)))&gt;0,1,0)</f>
        <v>0</v>
      </c>
      <c r="K141" s="0" t="n">
        <f aca="false">IF(SUMPRODUCT(--ISNUMBER(SEARCH(Keywords!E$3:E$7,$D141)))&gt;0,1,0)</f>
        <v>1</v>
      </c>
      <c r="L141" s="0" t="n">
        <f aca="false">IF(SUMPRODUCT(--ISNUMBER(SEARCH(Keywords!F$3:F$7,$D141)))&gt;0,1,0)</f>
        <v>0</v>
      </c>
      <c r="M141" s="0" t="n">
        <f aca="false">IF(SUMPRODUCT(--ISNUMBER(SEARCH(Keywords!G$3:G$7,$D141)))&gt;0,1,0)</f>
        <v>0</v>
      </c>
      <c r="N141" s="0" t="n">
        <f aca="false">SUM(H141:M141)</f>
        <v>1</v>
      </c>
      <c r="O141" s="0" t="str">
        <f aca="false">IF(N141=0,"Other",INDEX($H$2:$M$2,MATCH(1,H141:M141,0)))</f>
        <v>Payout or review</v>
      </c>
    </row>
    <row r="142" customFormat="false" ht="15" hidden="false" customHeight="false" outlineLevel="0" collapsed="false">
      <c r="A142" s="0" t="s">
        <v>470</v>
      </c>
      <c r="B142" s="0" t="n">
        <v>8</v>
      </c>
      <c r="C142" s="0" t="s">
        <v>219</v>
      </c>
      <c r="D142" s="0" t="s">
        <v>346</v>
      </c>
      <c r="E142" s="0" t="n">
        <v>6</v>
      </c>
      <c r="F142" s="0" t="n">
        <v>3</v>
      </c>
      <c r="G142" s="0" t="s">
        <v>221</v>
      </c>
      <c r="H142" s="0" t="n">
        <f aca="false">IF(SUMPRODUCT(--ISNUMBER(SEARCH(Keywords!B$3:B$7,$D142)))&gt;0,1,0)</f>
        <v>0</v>
      </c>
      <c r="I142" s="0" t="n">
        <f aca="false">IF(SUMPRODUCT(--ISNUMBER(SEARCH(Keywords!C$3:C$7,$D142)))&gt;0,1,0)</f>
        <v>0</v>
      </c>
      <c r="J142" s="0" t="n">
        <f aca="false">IF(SUMPRODUCT(--ISNUMBER(SEARCH(Keywords!D$3:D$7,$D142)))&gt;0,1,0)</f>
        <v>0</v>
      </c>
      <c r="K142" s="0" t="n">
        <f aca="false">IF(SUMPRODUCT(--ISNUMBER(SEARCH(Keywords!E$3:E$7,$D142)))&gt;0,1,0)</f>
        <v>0</v>
      </c>
      <c r="L142" s="0" t="n">
        <f aca="false">IF(SUMPRODUCT(--ISNUMBER(SEARCH(Keywords!F$3:F$7,$D142)))&gt;0,1,0)</f>
        <v>0</v>
      </c>
      <c r="M142" s="0" t="n">
        <f aca="false">IF(SUMPRODUCT(--ISNUMBER(SEARCH(Keywords!G$3:G$7,$D142)))&gt;0,1,0)</f>
        <v>0</v>
      </c>
      <c r="N142" s="0" t="n">
        <f aca="false">SUM(H142:M142)</f>
        <v>0</v>
      </c>
      <c r="O142" s="0" t="str">
        <f aca="false">IF(N142=0,"Other",INDEX($H$2:$M$2,MATCH(1,H142:M142,0)))</f>
        <v>Other</v>
      </c>
    </row>
    <row r="143" customFormat="false" ht="15" hidden="false" customHeight="false" outlineLevel="0" collapsed="false">
      <c r="A143" s="0" t="s">
        <v>471</v>
      </c>
      <c r="B143" s="0" t="n">
        <v>8</v>
      </c>
      <c r="C143" s="0" t="s">
        <v>230</v>
      </c>
      <c r="D143" s="0" t="s">
        <v>472</v>
      </c>
      <c r="E143" s="0" t="n">
        <v>17</v>
      </c>
      <c r="F143" s="0" t="n">
        <v>5</v>
      </c>
      <c r="G143" s="0" t="s">
        <v>224</v>
      </c>
      <c r="H143" s="0" t="n">
        <f aca="false">IF(SUMPRODUCT(--ISNUMBER(SEARCH(Keywords!B$3:B$7,$D143)))&gt;0,1,0)</f>
        <v>1</v>
      </c>
      <c r="I143" s="0" t="n">
        <f aca="false">IF(SUMPRODUCT(--ISNUMBER(SEARCH(Keywords!C$3:C$7,$D143)))&gt;0,1,0)</f>
        <v>0</v>
      </c>
      <c r="J143" s="0" t="n">
        <f aca="false">IF(SUMPRODUCT(--ISNUMBER(SEARCH(Keywords!D$3:D$7,$D143)))&gt;0,1,0)</f>
        <v>0</v>
      </c>
      <c r="K143" s="0" t="n">
        <f aca="false">IF(SUMPRODUCT(--ISNUMBER(SEARCH(Keywords!E$3:E$7,$D143)))&gt;0,1,0)</f>
        <v>0</v>
      </c>
      <c r="L143" s="0" t="n">
        <f aca="false">IF(SUMPRODUCT(--ISNUMBER(SEARCH(Keywords!F$3:F$7,$D143)))&gt;0,1,0)</f>
        <v>0</v>
      </c>
      <c r="M143" s="0" t="n">
        <f aca="false">IF(SUMPRODUCT(--ISNUMBER(SEARCH(Keywords!G$3:G$7,$D143)))&gt;0,1,0)</f>
        <v>0</v>
      </c>
      <c r="N143" s="0" t="n">
        <f aca="false">SUM(H143:M143)</f>
        <v>1</v>
      </c>
      <c r="O143" s="0" t="str">
        <f aca="false">IF(N143=0,"Other",INDEX($H$2:$M$2,MATCH(1,H143:M143,0)))</f>
        <v>Market data</v>
      </c>
    </row>
    <row r="144" customFormat="false" ht="15" hidden="false" customHeight="false" outlineLevel="0" collapsed="false">
      <c r="A144" s="0" t="s">
        <v>473</v>
      </c>
      <c r="B144" s="0" t="n">
        <v>8</v>
      </c>
      <c r="C144" s="0" t="s">
        <v>219</v>
      </c>
      <c r="D144" s="0" t="s">
        <v>474</v>
      </c>
      <c r="E144" s="0" t="n">
        <v>12</v>
      </c>
      <c r="F144" s="0" t="n">
        <v>4</v>
      </c>
      <c r="G144" s="0" t="s">
        <v>221</v>
      </c>
      <c r="H144" s="0" t="n">
        <f aca="false">IF(SUMPRODUCT(--ISNUMBER(SEARCH(Keywords!B$3:B$7,$D144)))&gt;0,1,0)</f>
        <v>0</v>
      </c>
      <c r="I144" s="0" t="n">
        <f aca="false">IF(SUMPRODUCT(--ISNUMBER(SEARCH(Keywords!C$3:C$7,$D144)))&gt;0,1,0)</f>
        <v>0</v>
      </c>
      <c r="J144" s="0" t="n">
        <f aca="false">IF(SUMPRODUCT(--ISNUMBER(SEARCH(Keywords!D$3:D$7,$D144)))&gt;0,1,0)</f>
        <v>0</v>
      </c>
      <c r="K144" s="0" t="n">
        <f aca="false">IF(SUMPRODUCT(--ISNUMBER(SEARCH(Keywords!E$3:E$7,$D144)))&gt;0,1,0)</f>
        <v>0</v>
      </c>
      <c r="L144" s="0" t="n">
        <f aca="false">IF(SUMPRODUCT(--ISNUMBER(SEARCH(Keywords!F$3:F$7,$D144)))&gt;0,1,0)</f>
        <v>0</v>
      </c>
      <c r="M144" s="0" t="n">
        <f aca="false">IF(SUMPRODUCT(--ISNUMBER(SEARCH(Keywords!G$3:G$7,$D144)))&gt;0,1,0)</f>
        <v>1</v>
      </c>
      <c r="N144" s="0" t="n">
        <f aca="false">SUM(H144:M144)</f>
        <v>1</v>
      </c>
      <c r="O144" s="0" t="str">
        <f aca="false">IF(N144=0,"Other",INDEX($H$2:$M$2,MATCH(1,H144:M144,0)))</f>
        <v>Platform setup</v>
      </c>
    </row>
    <row r="145" customFormat="false" ht="15" hidden="false" customHeight="false" outlineLevel="0" collapsed="false">
      <c r="A145" s="0" t="s">
        <v>475</v>
      </c>
      <c r="B145" s="0" t="n">
        <v>8</v>
      </c>
      <c r="C145" s="0" t="s">
        <v>230</v>
      </c>
      <c r="D145" s="0" t="s">
        <v>476</v>
      </c>
      <c r="E145" s="0" t="n">
        <v>14</v>
      </c>
      <c r="F145" s="0" t="n">
        <v>1</v>
      </c>
      <c r="G145" s="0" t="s">
        <v>221</v>
      </c>
      <c r="H145" s="0" t="n">
        <f aca="false">IF(SUMPRODUCT(--ISNUMBER(SEARCH(Keywords!B$3:B$7,$D145)))&gt;0,1,0)</f>
        <v>0</v>
      </c>
      <c r="I145" s="0" t="n">
        <f aca="false">IF(SUMPRODUCT(--ISNUMBER(SEARCH(Keywords!C$3:C$7,$D145)))&gt;0,1,0)</f>
        <v>0</v>
      </c>
      <c r="J145" s="0" t="n">
        <f aca="false">IF(SUMPRODUCT(--ISNUMBER(SEARCH(Keywords!D$3:D$7,$D145)))&gt;0,1,0)</f>
        <v>1</v>
      </c>
      <c r="K145" s="0" t="n">
        <f aca="false">IF(SUMPRODUCT(--ISNUMBER(SEARCH(Keywords!E$3:E$7,$D145)))&gt;0,1,0)</f>
        <v>0</v>
      </c>
      <c r="L145" s="0" t="n">
        <f aca="false">IF(SUMPRODUCT(--ISNUMBER(SEARCH(Keywords!F$3:F$7,$D145)))&gt;0,1,0)</f>
        <v>0</v>
      </c>
      <c r="M145" s="0" t="n">
        <f aca="false">IF(SUMPRODUCT(--ISNUMBER(SEARCH(Keywords!G$3:G$7,$D145)))&gt;0,1,0)</f>
        <v>0</v>
      </c>
      <c r="N145" s="0" t="n">
        <f aca="false">SUM(H145:M145)</f>
        <v>1</v>
      </c>
      <c r="O145" s="0" t="str">
        <f aca="false">IF(N145=0,"Other",INDEX($H$2:$M$2,MATCH(1,H145:M145,0)))</f>
        <v>Closure or limit reason</v>
      </c>
    </row>
    <row r="146" customFormat="false" ht="15" hidden="false" customHeight="false" outlineLevel="0" collapsed="false">
      <c r="A146" s="0" t="s">
        <v>477</v>
      </c>
      <c r="B146" s="0" t="n">
        <v>8</v>
      </c>
      <c r="C146" s="0" t="s">
        <v>230</v>
      </c>
      <c r="D146" s="0" t="s">
        <v>478</v>
      </c>
      <c r="E146" s="0" t="n">
        <v>10</v>
      </c>
      <c r="F146" s="0" t="n">
        <v>4</v>
      </c>
      <c r="G146" s="0" t="s">
        <v>221</v>
      </c>
      <c r="H146" s="0" t="n">
        <f aca="false">IF(SUMPRODUCT(--ISNUMBER(SEARCH(Keywords!B$3:B$7,$D146)))&gt;0,1,0)</f>
        <v>0</v>
      </c>
      <c r="I146" s="0" t="n">
        <f aca="false">IF(SUMPRODUCT(--ISNUMBER(SEARCH(Keywords!C$3:C$7,$D146)))&gt;0,1,0)</f>
        <v>0</v>
      </c>
      <c r="J146" s="0" t="n">
        <f aca="false">IF(SUMPRODUCT(--ISNUMBER(SEARCH(Keywords!D$3:D$7,$D146)))&gt;0,1,0)</f>
        <v>0</v>
      </c>
      <c r="K146" s="0" t="n">
        <f aca="false">IF(SUMPRODUCT(--ISNUMBER(SEARCH(Keywords!E$3:E$7,$D146)))&gt;0,1,0)</f>
        <v>0</v>
      </c>
      <c r="L146" s="0" t="n">
        <f aca="false">IF(SUMPRODUCT(--ISNUMBER(SEARCH(Keywords!F$3:F$7,$D146)))&gt;0,1,0)</f>
        <v>1</v>
      </c>
      <c r="M146" s="0" t="n">
        <f aca="false">IF(SUMPRODUCT(--ISNUMBER(SEARCH(Keywords!G$3:G$7,$D146)))&gt;0,1,0)</f>
        <v>0</v>
      </c>
      <c r="N146" s="0" t="n">
        <f aca="false">SUM(H146:M146)</f>
        <v>1</v>
      </c>
      <c r="O146" s="0" t="str">
        <f aca="false">IF(N146=0,"Other",INDEX($H$2:$M$2,MATCH(1,H146:M146,0)))</f>
        <v>Sign-in or verification</v>
      </c>
    </row>
    <row r="147" customFormat="false" ht="15" hidden="false" customHeight="false" outlineLevel="0" collapsed="false">
      <c r="A147" s="0" t="s">
        <v>479</v>
      </c>
      <c r="B147" s="0" t="n">
        <v>8</v>
      </c>
      <c r="C147" s="0" t="s">
        <v>219</v>
      </c>
      <c r="D147" s="0" t="s">
        <v>480</v>
      </c>
      <c r="E147" s="0" t="n">
        <v>9</v>
      </c>
      <c r="F147" s="0" t="n">
        <v>3</v>
      </c>
      <c r="G147" s="0" t="s">
        <v>224</v>
      </c>
      <c r="H147" s="0" t="n">
        <f aca="false">IF(SUMPRODUCT(--ISNUMBER(SEARCH(Keywords!B$3:B$7,$D147)))&gt;0,1,0)</f>
        <v>0</v>
      </c>
      <c r="I147" s="0" t="n">
        <f aca="false">IF(SUMPRODUCT(--ISNUMBER(SEARCH(Keywords!C$3:C$7,$D147)))&gt;0,1,0)</f>
        <v>0</v>
      </c>
      <c r="J147" s="0" t="n">
        <f aca="false">IF(SUMPRODUCT(--ISNUMBER(SEARCH(Keywords!D$3:D$7,$D147)))&gt;0,1,0)</f>
        <v>0</v>
      </c>
      <c r="K147" s="0" t="n">
        <f aca="false">IF(SUMPRODUCT(--ISNUMBER(SEARCH(Keywords!E$3:E$7,$D147)))&gt;0,1,0)</f>
        <v>1</v>
      </c>
      <c r="L147" s="0" t="n">
        <f aca="false">IF(SUMPRODUCT(--ISNUMBER(SEARCH(Keywords!F$3:F$7,$D147)))&gt;0,1,0)</f>
        <v>0</v>
      </c>
      <c r="M147" s="0" t="n">
        <f aca="false">IF(SUMPRODUCT(--ISNUMBER(SEARCH(Keywords!G$3:G$7,$D147)))&gt;0,1,0)</f>
        <v>0</v>
      </c>
      <c r="N147" s="0" t="n">
        <f aca="false">SUM(H147:M147)</f>
        <v>1</v>
      </c>
      <c r="O147" s="0" t="str">
        <f aca="false">IF(N147=0,"Other",INDEX($H$2:$M$2,MATCH(1,H147:M147,0)))</f>
        <v>Payout or review</v>
      </c>
    </row>
    <row r="148" customFormat="false" ht="15" hidden="false" customHeight="false" outlineLevel="0" collapsed="false">
      <c r="A148" s="0" t="s">
        <v>481</v>
      </c>
      <c r="B148" s="0" t="n">
        <v>8</v>
      </c>
      <c r="C148" s="0" t="s">
        <v>230</v>
      </c>
      <c r="D148" s="0" t="s">
        <v>482</v>
      </c>
      <c r="E148" s="0" t="n">
        <v>17</v>
      </c>
      <c r="F148" s="0" t="n">
        <v>3</v>
      </c>
      <c r="G148" s="0" t="s">
        <v>221</v>
      </c>
      <c r="H148" s="0" t="n">
        <f aca="false">IF(SUMPRODUCT(--ISNUMBER(SEARCH(Keywords!B$3:B$7,$D148)))&gt;0,1,0)</f>
        <v>1</v>
      </c>
      <c r="I148" s="0" t="n">
        <f aca="false">IF(SUMPRODUCT(--ISNUMBER(SEARCH(Keywords!C$3:C$7,$D148)))&gt;0,1,0)</f>
        <v>0</v>
      </c>
      <c r="J148" s="0" t="n">
        <f aca="false">IF(SUMPRODUCT(--ISNUMBER(SEARCH(Keywords!D$3:D$7,$D148)))&gt;0,1,0)</f>
        <v>0</v>
      </c>
      <c r="K148" s="0" t="n">
        <f aca="false">IF(SUMPRODUCT(--ISNUMBER(SEARCH(Keywords!E$3:E$7,$D148)))&gt;0,1,0)</f>
        <v>0</v>
      </c>
      <c r="L148" s="0" t="n">
        <f aca="false">IF(SUMPRODUCT(--ISNUMBER(SEARCH(Keywords!F$3:F$7,$D148)))&gt;0,1,0)</f>
        <v>0</v>
      </c>
      <c r="M148" s="0" t="n">
        <f aca="false">IF(SUMPRODUCT(--ISNUMBER(SEARCH(Keywords!G$3:G$7,$D148)))&gt;0,1,0)</f>
        <v>0</v>
      </c>
      <c r="N148" s="0" t="n">
        <f aca="false">SUM(H148:M148)</f>
        <v>1</v>
      </c>
      <c r="O148" s="0" t="str">
        <f aca="false">IF(N148=0,"Other",INDEX($H$2:$M$2,MATCH(1,H148:M148,0)))</f>
        <v>Market data</v>
      </c>
    </row>
    <row r="149" customFormat="false" ht="15" hidden="false" customHeight="false" outlineLevel="0" collapsed="false">
      <c r="A149" s="0" t="s">
        <v>483</v>
      </c>
      <c r="B149" s="0" t="n">
        <v>8</v>
      </c>
      <c r="C149" s="0" t="s">
        <v>230</v>
      </c>
      <c r="D149" s="0" t="s">
        <v>472</v>
      </c>
      <c r="E149" s="0" t="n">
        <v>13</v>
      </c>
      <c r="F149" s="0" t="n">
        <v>3</v>
      </c>
      <c r="G149" s="0" t="s">
        <v>221</v>
      </c>
      <c r="H149" s="0" t="n">
        <f aca="false">IF(SUMPRODUCT(--ISNUMBER(SEARCH(Keywords!B$3:B$7,$D149)))&gt;0,1,0)</f>
        <v>1</v>
      </c>
      <c r="I149" s="0" t="n">
        <f aca="false">IF(SUMPRODUCT(--ISNUMBER(SEARCH(Keywords!C$3:C$7,$D149)))&gt;0,1,0)</f>
        <v>0</v>
      </c>
      <c r="J149" s="0" t="n">
        <f aca="false">IF(SUMPRODUCT(--ISNUMBER(SEARCH(Keywords!D$3:D$7,$D149)))&gt;0,1,0)</f>
        <v>0</v>
      </c>
      <c r="K149" s="0" t="n">
        <f aca="false">IF(SUMPRODUCT(--ISNUMBER(SEARCH(Keywords!E$3:E$7,$D149)))&gt;0,1,0)</f>
        <v>0</v>
      </c>
      <c r="L149" s="0" t="n">
        <f aca="false">IF(SUMPRODUCT(--ISNUMBER(SEARCH(Keywords!F$3:F$7,$D149)))&gt;0,1,0)</f>
        <v>0</v>
      </c>
      <c r="M149" s="0" t="n">
        <f aca="false">IF(SUMPRODUCT(--ISNUMBER(SEARCH(Keywords!G$3:G$7,$D149)))&gt;0,1,0)</f>
        <v>0</v>
      </c>
      <c r="N149" s="0" t="n">
        <f aca="false">SUM(H149:M149)</f>
        <v>1</v>
      </c>
      <c r="O149" s="0" t="str">
        <f aca="false">IF(N149=0,"Other",INDEX($H$2:$M$2,MATCH(1,H149:M149,0)))</f>
        <v>Market data</v>
      </c>
    </row>
    <row r="150" customFormat="false" ht="15" hidden="false" customHeight="false" outlineLevel="0" collapsed="false">
      <c r="A150" s="0" t="s">
        <v>484</v>
      </c>
      <c r="B150" s="0" t="n">
        <v>8</v>
      </c>
      <c r="C150" s="0" t="s">
        <v>230</v>
      </c>
      <c r="D150" s="0" t="s">
        <v>379</v>
      </c>
      <c r="E150" s="0" t="n">
        <v>9</v>
      </c>
      <c r="F150" s="0" t="n">
        <v>4</v>
      </c>
      <c r="G150" s="0" t="s">
        <v>221</v>
      </c>
      <c r="H150" s="0" t="n">
        <f aca="false">IF(SUMPRODUCT(--ISNUMBER(SEARCH(Keywords!B$3:B$7,$D150)))&gt;0,1,0)</f>
        <v>0</v>
      </c>
      <c r="I150" s="0" t="n">
        <f aca="false">IF(SUMPRODUCT(--ISNUMBER(SEARCH(Keywords!C$3:C$7,$D150)))&gt;0,1,0)</f>
        <v>1</v>
      </c>
      <c r="J150" s="0" t="n">
        <f aca="false">IF(SUMPRODUCT(--ISNUMBER(SEARCH(Keywords!D$3:D$7,$D150)))&gt;0,1,0)</f>
        <v>0</v>
      </c>
      <c r="K150" s="0" t="n">
        <f aca="false">IF(SUMPRODUCT(--ISNUMBER(SEARCH(Keywords!E$3:E$7,$D150)))&gt;0,1,0)</f>
        <v>0</v>
      </c>
      <c r="L150" s="0" t="n">
        <f aca="false">IF(SUMPRODUCT(--ISNUMBER(SEARCH(Keywords!F$3:F$7,$D150)))&gt;0,1,0)</f>
        <v>0</v>
      </c>
      <c r="M150" s="0" t="n">
        <f aca="false">IF(SUMPRODUCT(--ISNUMBER(SEARCH(Keywords!G$3:G$7,$D150)))&gt;0,1,0)</f>
        <v>0</v>
      </c>
      <c r="N150" s="0" t="n">
        <f aca="false">SUM(H150:M150)</f>
        <v>1</v>
      </c>
      <c r="O150" s="0" t="str">
        <f aca="false">IF(N150=0,"Other",INDEX($H$2:$M$2,MATCH(1,H150:M150,0)))</f>
        <v>Account status</v>
      </c>
    </row>
    <row r="151" customFormat="false" ht="15" hidden="false" customHeight="false" outlineLevel="0" collapsed="false">
      <c r="A151" s="0" t="s">
        <v>485</v>
      </c>
      <c r="B151" s="0" t="n">
        <v>8</v>
      </c>
      <c r="C151" s="0" t="s">
        <v>219</v>
      </c>
      <c r="D151" s="0" t="s">
        <v>486</v>
      </c>
      <c r="E151" s="0" t="n">
        <v>13</v>
      </c>
      <c r="F151" s="0" t="n">
        <v>2</v>
      </c>
      <c r="G151" s="0" t="s">
        <v>221</v>
      </c>
      <c r="H151" s="0" t="n">
        <f aca="false">IF(SUMPRODUCT(--ISNUMBER(SEARCH(Keywords!B$3:B$7,$D151)))&gt;0,1,0)</f>
        <v>0</v>
      </c>
      <c r="I151" s="0" t="n">
        <f aca="false">IF(SUMPRODUCT(--ISNUMBER(SEARCH(Keywords!C$3:C$7,$D151)))&gt;0,1,0)</f>
        <v>0</v>
      </c>
      <c r="J151" s="0" t="n">
        <f aca="false">IF(SUMPRODUCT(--ISNUMBER(SEARCH(Keywords!D$3:D$7,$D151)))&gt;0,1,0)</f>
        <v>1</v>
      </c>
      <c r="K151" s="0" t="n">
        <f aca="false">IF(SUMPRODUCT(--ISNUMBER(SEARCH(Keywords!E$3:E$7,$D151)))&gt;0,1,0)</f>
        <v>0</v>
      </c>
      <c r="L151" s="0" t="n">
        <f aca="false">IF(SUMPRODUCT(--ISNUMBER(SEARCH(Keywords!F$3:F$7,$D151)))&gt;0,1,0)</f>
        <v>0</v>
      </c>
      <c r="M151" s="0" t="n">
        <f aca="false">IF(SUMPRODUCT(--ISNUMBER(SEARCH(Keywords!G$3:G$7,$D151)))&gt;0,1,0)</f>
        <v>0</v>
      </c>
      <c r="N151" s="0" t="n">
        <f aca="false">SUM(H151:M151)</f>
        <v>1</v>
      </c>
      <c r="O151" s="0" t="str">
        <f aca="false">IF(N151=0,"Other",INDEX($H$2:$M$2,MATCH(1,H151:M151,0)))</f>
        <v>Closure or limit reason</v>
      </c>
    </row>
    <row r="152" customFormat="false" ht="15" hidden="false" customHeight="false" outlineLevel="0" collapsed="false">
      <c r="A152" s="0" t="s">
        <v>487</v>
      </c>
      <c r="B152" s="0" t="n">
        <v>8</v>
      </c>
      <c r="C152" s="0" t="s">
        <v>230</v>
      </c>
      <c r="D152" s="0" t="s">
        <v>488</v>
      </c>
      <c r="E152" s="0" t="n">
        <v>12</v>
      </c>
      <c r="F152" s="0" t="n">
        <v>5</v>
      </c>
      <c r="G152" s="0" t="s">
        <v>221</v>
      </c>
      <c r="H152" s="0" t="n">
        <f aca="false">IF(SUMPRODUCT(--ISNUMBER(SEARCH(Keywords!B$3:B$7,$D152)))&gt;0,1,0)</f>
        <v>0</v>
      </c>
      <c r="I152" s="0" t="n">
        <f aca="false">IF(SUMPRODUCT(--ISNUMBER(SEARCH(Keywords!C$3:C$7,$D152)))&gt;0,1,0)</f>
        <v>1</v>
      </c>
      <c r="J152" s="0" t="n">
        <f aca="false">IF(SUMPRODUCT(--ISNUMBER(SEARCH(Keywords!D$3:D$7,$D152)))&gt;0,1,0)</f>
        <v>0</v>
      </c>
      <c r="K152" s="0" t="n">
        <f aca="false">IF(SUMPRODUCT(--ISNUMBER(SEARCH(Keywords!E$3:E$7,$D152)))&gt;0,1,0)</f>
        <v>0</v>
      </c>
      <c r="L152" s="0" t="n">
        <f aca="false">IF(SUMPRODUCT(--ISNUMBER(SEARCH(Keywords!F$3:F$7,$D152)))&gt;0,1,0)</f>
        <v>0</v>
      </c>
      <c r="M152" s="0" t="n">
        <f aca="false">IF(SUMPRODUCT(--ISNUMBER(SEARCH(Keywords!G$3:G$7,$D152)))&gt;0,1,0)</f>
        <v>0</v>
      </c>
      <c r="N152" s="0" t="n">
        <f aca="false">SUM(H152:M152)</f>
        <v>1</v>
      </c>
      <c r="O152" s="0" t="str">
        <f aca="false">IF(N152=0,"Other",INDEX($H$2:$M$2,MATCH(1,H152:M152,0)))</f>
        <v>Account status</v>
      </c>
    </row>
    <row r="153" customFormat="false" ht="15" hidden="false" customHeight="false" outlineLevel="0" collapsed="false">
      <c r="A153" s="0" t="s">
        <v>489</v>
      </c>
      <c r="B153" s="0" t="n">
        <v>8</v>
      </c>
      <c r="C153" s="0" t="s">
        <v>219</v>
      </c>
      <c r="D153" s="0" t="s">
        <v>369</v>
      </c>
      <c r="E153" s="0" t="n">
        <v>20</v>
      </c>
      <c r="F153" s="0" t="n">
        <v>4</v>
      </c>
      <c r="G153" s="0" t="s">
        <v>224</v>
      </c>
      <c r="H153" s="0" t="n">
        <f aca="false">IF(SUMPRODUCT(--ISNUMBER(SEARCH(Keywords!B$3:B$7,$D153)))&gt;0,1,0)</f>
        <v>1</v>
      </c>
      <c r="I153" s="0" t="n">
        <f aca="false">IF(SUMPRODUCT(--ISNUMBER(SEARCH(Keywords!C$3:C$7,$D153)))&gt;0,1,0)</f>
        <v>0</v>
      </c>
      <c r="J153" s="0" t="n">
        <f aca="false">IF(SUMPRODUCT(--ISNUMBER(SEARCH(Keywords!D$3:D$7,$D153)))&gt;0,1,0)</f>
        <v>0</v>
      </c>
      <c r="K153" s="0" t="n">
        <f aca="false">IF(SUMPRODUCT(--ISNUMBER(SEARCH(Keywords!E$3:E$7,$D153)))&gt;0,1,0)</f>
        <v>0</v>
      </c>
      <c r="L153" s="0" t="n">
        <f aca="false">IF(SUMPRODUCT(--ISNUMBER(SEARCH(Keywords!F$3:F$7,$D153)))&gt;0,1,0)</f>
        <v>0</v>
      </c>
      <c r="M153" s="0" t="n">
        <f aca="false">IF(SUMPRODUCT(--ISNUMBER(SEARCH(Keywords!G$3:G$7,$D153)))&gt;0,1,0)</f>
        <v>0</v>
      </c>
      <c r="N153" s="0" t="n">
        <f aca="false">SUM(H153:M153)</f>
        <v>1</v>
      </c>
      <c r="O153" s="0" t="str">
        <f aca="false">IF(N153=0,"Other",INDEX($H$2:$M$2,MATCH(1,H153:M153,0)))</f>
        <v>Market data</v>
      </c>
    </row>
    <row r="154" customFormat="false" ht="15" hidden="false" customHeight="false" outlineLevel="0" collapsed="false">
      <c r="A154" s="0" t="s">
        <v>490</v>
      </c>
      <c r="B154" s="0" t="n">
        <v>8</v>
      </c>
      <c r="C154" s="0" t="s">
        <v>219</v>
      </c>
      <c r="D154" s="0" t="s">
        <v>440</v>
      </c>
      <c r="E154" s="0" t="n">
        <v>8</v>
      </c>
      <c r="F154" s="0" t="n">
        <v>4</v>
      </c>
      <c r="G154" s="0" t="s">
        <v>221</v>
      </c>
      <c r="H154" s="0" t="n">
        <f aca="false">IF(SUMPRODUCT(--ISNUMBER(SEARCH(Keywords!B$3:B$7,$D154)))&gt;0,1,0)</f>
        <v>0</v>
      </c>
      <c r="I154" s="0" t="n">
        <f aca="false">IF(SUMPRODUCT(--ISNUMBER(SEARCH(Keywords!C$3:C$7,$D154)))&gt;0,1,0)</f>
        <v>1</v>
      </c>
      <c r="J154" s="0" t="n">
        <f aca="false">IF(SUMPRODUCT(--ISNUMBER(SEARCH(Keywords!D$3:D$7,$D154)))&gt;0,1,0)</f>
        <v>0</v>
      </c>
      <c r="K154" s="0" t="n">
        <f aca="false">IF(SUMPRODUCT(--ISNUMBER(SEARCH(Keywords!E$3:E$7,$D154)))&gt;0,1,0)</f>
        <v>0</v>
      </c>
      <c r="L154" s="0" t="n">
        <f aca="false">IF(SUMPRODUCT(--ISNUMBER(SEARCH(Keywords!F$3:F$7,$D154)))&gt;0,1,0)</f>
        <v>0</v>
      </c>
      <c r="M154" s="0" t="n">
        <f aca="false">IF(SUMPRODUCT(--ISNUMBER(SEARCH(Keywords!G$3:G$7,$D154)))&gt;0,1,0)</f>
        <v>0</v>
      </c>
      <c r="N154" s="0" t="n">
        <f aca="false">SUM(H154:M154)</f>
        <v>1</v>
      </c>
      <c r="O154" s="0" t="str">
        <f aca="false">IF(N154=0,"Other",INDEX($H$2:$M$2,MATCH(1,H154:M154,0)))</f>
        <v>Account status</v>
      </c>
    </row>
    <row r="155" customFormat="false" ht="15" hidden="false" customHeight="false" outlineLevel="0" collapsed="false">
      <c r="A155" s="0" t="s">
        <v>491</v>
      </c>
      <c r="B155" s="0" t="n">
        <v>8</v>
      </c>
      <c r="C155" s="0" t="s">
        <v>219</v>
      </c>
      <c r="D155" s="0" t="s">
        <v>492</v>
      </c>
      <c r="E155" s="0" t="n">
        <v>12</v>
      </c>
      <c r="F155" s="0" t="n">
        <v>4</v>
      </c>
      <c r="G155" s="0" t="s">
        <v>221</v>
      </c>
      <c r="H155" s="0" t="n">
        <f aca="false">IF(SUMPRODUCT(--ISNUMBER(SEARCH(Keywords!B$3:B$7,$D155)))&gt;0,1,0)</f>
        <v>0</v>
      </c>
      <c r="I155" s="0" t="n">
        <f aca="false">IF(SUMPRODUCT(--ISNUMBER(SEARCH(Keywords!C$3:C$7,$D155)))&gt;0,1,0)</f>
        <v>0</v>
      </c>
      <c r="J155" s="0" t="n">
        <f aca="false">IF(SUMPRODUCT(--ISNUMBER(SEARCH(Keywords!D$3:D$7,$D155)))&gt;0,1,0)</f>
        <v>0</v>
      </c>
      <c r="K155" s="0" t="n">
        <f aca="false">IF(SUMPRODUCT(--ISNUMBER(SEARCH(Keywords!E$3:E$7,$D155)))&gt;0,1,0)</f>
        <v>1</v>
      </c>
      <c r="L155" s="0" t="n">
        <f aca="false">IF(SUMPRODUCT(--ISNUMBER(SEARCH(Keywords!F$3:F$7,$D155)))&gt;0,1,0)</f>
        <v>0</v>
      </c>
      <c r="M155" s="0" t="n">
        <f aca="false">IF(SUMPRODUCT(--ISNUMBER(SEARCH(Keywords!G$3:G$7,$D155)))&gt;0,1,0)</f>
        <v>0</v>
      </c>
      <c r="N155" s="0" t="n">
        <f aca="false">SUM(H155:M155)</f>
        <v>1</v>
      </c>
      <c r="O155" s="0" t="str">
        <f aca="false">IF(N155=0,"Other",INDEX($H$2:$M$2,MATCH(1,H155:M155,0)))</f>
        <v>Payout or 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8"/>
  </cols>
  <sheetData>
    <row r="1" customFormat="false" ht="15" hidden="false" customHeight="false" outlineLevel="0" collapsed="false">
      <c r="A1" s="3" t="s">
        <v>493</v>
      </c>
    </row>
    <row r="2" customFormat="false" ht="15" hidden="false" customHeight="false" outlineLevel="0" collapsed="false">
      <c r="A2" s="0" t="s">
        <v>494</v>
      </c>
      <c r="B2" s="0" t="n">
        <f aca="false">COUNTA(Chat_Log_Fictional!$A$3:$A$155)</f>
        <v>153</v>
      </c>
    </row>
    <row r="4" customFormat="false" ht="28.35" hidden="false" customHeight="false" outlineLevel="0" collapsed="false">
      <c r="A4" s="1" t="s">
        <v>495</v>
      </c>
      <c r="B4" s="1" t="s">
        <v>496</v>
      </c>
      <c r="C4" s="1" t="s">
        <v>497</v>
      </c>
      <c r="D4" s="1" t="s">
        <v>498</v>
      </c>
      <c r="E4" s="1" t="s">
        <v>499</v>
      </c>
      <c r="F4" s="1" t="s">
        <v>500</v>
      </c>
      <c r="G4" s="1" t="s">
        <v>501</v>
      </c>
      <c r="H4" s="1" t="s">
        <v>502</v>
      </c>
      <c r="I4" s="1" t="s">
        <v>503</v>
      </c>
    </row>
    <row r="5" customFormat="false" ht="15" hidden="false" customHeight="false" outlineLevel="0" collapsed="false">
      <c r="A5" s="0" t="s">
        <v>172</v>
      </c>
      <c r="B5" s="0" t="n">
        <f aca="false">SUM(Chat_Log_Fictional!$H$3:$H$155)</f>
        <v>44</v>
      </c>
      <c r="C5" s="9" t="n">
        <f aca="false">B5/$B$2</f>
        <v>0.287581699346405</v>
      </c>
      <c r="D5" s="5" t="n">
        <f aca="false">SUMPRODUCT(Chat_Log_Fictional!$H$3:$H$155,Chat_Log_Fictional!$E$3:$E$155)/B5</f>
        <v>13.6136363636364</v>
      </c>
      <c r="E5" s="5" t="n">
        <f aca="false">B5*D5/60</f>
        <v>9.98333333333333</v>
      </c>
      <c r="F5" s="5" t="n">
        <f aca="false">SUMPRODUCT(Chat_Log_Fictional!$H$3:$H$155,Chat_Log_Fictional!$F$3:$F$155)/B5</f>
        <v>3.47727272727273</v>
      </c>
      <c r="G5" s="9" t="n">
        <f aca="false">SUMPRODUCT(Chat_Log_Fictional!$H$3:$H$155,--(Chat_Log_Fictional!$G$3:$G$155="Y"))/B5</f>
        <v>0.136363636363636</v>
      </c>
      <c r="H5" s="5" t="n">
        <f aca="false">E5*(1+G5)*(5-F5)</f>
        <v>17.274879476584</v>
      </c>
      <c r="I5" s="8" t="n">
        <f aca="false">RANK(H5,$H$5:$H$10)</f>
        <v>2</v>
      </c>
    </row>
    <row r="6" customFormat="false" ht="15" hidden="false" customHeight="false" outlineLevel="0" collapsed="false">
      <c r="A6" s="0" t="s">
        <v>173</v>
      </c>
      <c r="B6" s="0" t="n">
        <f aca="false">SUM(Chat_Log_Fictional!$I$3:$I$155)</f>
        <v>26</v>
      </c>
      <c r="C6" s="9" t="n">
        <f aca="false">B6/$B$2</f>
        <v>0.169934640522876</v>
      </c>
      <c r="D6" s="5" t="n">
        <f aca="false">SUMPRODUCT(Chat_Log_Fictional!$I$3:$I$155,Chat_Log_Fictional!$E$3:$E$155)/B6</f>
        <v>12.3846153846154</v>
      </c>
      <c r="E6" s="5" t="n">
        <f aca="false">B6*D6/60</f>
        <v>5.36666666666667</v>
      </c>
      <c r="F6" s="5" t="n">
        <f aca="false">SUMPRODUCT(Chat_Log_Fictional!$I$3:$I$155,Chat_Log_Fictional!$F$3:$F$155)/B6</f>
        <v>4.11538461538462</v>
      </c>
      <c r="G6" s="9" t="n">
        <f aca="false">SUMPRODUCT(Chat_Log_Fictional!$I$3:$I$155,--(Chat_Log_Fictional!$G$3:$G$155="Y"))/B6</f>
        <v>0.230769230769231</v>
      </c>
      <c r="H6" s="5" t="n">
        <f aca="false">E6*(1+G6)*(5-F6)</f>
        <v>5.84299802761341</v>
      </c>
      <c r="I6" s="8" t="n">
        <f aca="false">RANK(H6,$H$5:$H$10)</f>
        <v>4</v>
      </c>
    </row>
    <row r="7" customFormat="false" ht="15" hidden="false" customHeight="false" outlineLevel="0" collapsed="false">
      <c r="A7" s="0" t="s">
        <v>174</v>
      </c>
      <c r="B7" s="0" t="n">
        <f aca="false">SUM(Chat_Log_Fictional!$J$3:$J$155)</f>
        <v>23</v>
      </c>
      <c r="C7" s="9" t="n">
        <f aca="false">B7/$B$2</f>
        <v>0.150326797385621</v>
      </c>
      <c r="D7" s="5" t="n">
        <f aca="false">SUMPRODUCT(Chat_Log_Fictional!$J$3:$J$155,Chat_Log_Fictional!$E$3:$E$155)/B7</f>
        <v>17.1739130434783</v>
      </c>
      <c r="E7" s="5" t="n">
        <f aca="false">B7*D7/60</f>
        <v>6.58333333333333</v>
      </c>
      <c r="F7" s="5" t="n">
        <f aca="false">SUMPRODUCT(Chat_Log_Fictional!$J$3:$J$155,Chat_Log_Fictional!$F$3:$F$155)/B7</f>
        <v>2.26086956521739</v>
      </c>
      <c r="G7" s="9" t="n">
        <f aca="false">SUMPRODUCT(Chat_Log_Fictional!$J$3:$J$155,--(Chat_Log_Fictional!$G$3:$G$155="Y"))/B7</f>
        <v>0.304347826086957</v>
      </c>
      <c r="H7" s="5" t="n">
        <f aca="false">E7*(1+G7)*(5-F7)</f>
        <v>23.5207939508507</v>
      </c>
      <c r="I7" s="8" t="n">
        <f aca="false">RANK(H7,$H$5:$H$10)</f>
        <v>1</v>
      </c>
    </row>
    <row r="8" customFormat="false" ht="15" hidden="false" customHeight="false" outlineLevel="0" collapsed="false">
      <c r="A8" s="0" t="s">
        <v>175</v>
      </c>
      <c r="B8" s="0" t="n">
        <f aca="false">SUM(Chat_Log_Fictional!$K$3:$K$155)</f>
        <v>23</v>
      </c>
      <c r="C8" s="9" t="n">
        <f aca="false">B8/$B$2</f>
        <v>0.150326797385621</v>
      </c>
      <c r="D8" s="5" t="n">
        <f aca="false">SUMPRODUCT(Chat_Log_Fictional!$K$3:$K$155,Chat_Log_Fictional!$E$3:$E$155)/B8</f>
        <v>11.1304347826087</v>
      </c>
      <c r="E8" s="5" t="n">
        <f aca="false">B8*D8/60</f>
        <v>4.26666666666667</v>
      </c>
      <c r="F8" s="5" t="n">
        <f aca="false">SUMPRODUCT(Chat_Log_Fictional!$K$3:$K$155,Chat_Log_Fictional!$F$3:$F$155)/B8</f>
        <v>3.60869565217391</v>
      </c>
      <c r="G8" s="9" t="n">
        <f aca="false">SUMPRODUCT(Chat_Log_Fictional!$K$3:$K$155,--(Chat_Log_Fictional!$G$3:$G$155="Y"))/B8</f>
        <v>0.347826086956522</v>
      </c>
      <c r="H8" s="5" t="n">
        <f aca="false">E8*(1+G8)*(5-F8)</f>
        <v>8.0010081915564</v>
      </c>
      <c r="I8" s="8" t="n">
        <f aca="false">RANK(H8,$H$5:$H$10)</f>
        <v>3</v>
      </c>
    </row>
    <row r="9" customFormat="false" ht="15" hidden="false" customHeight="false" outlineLevel="0" collapsed="false">
      <c r="A9" s="0" t="s">
        <v>176</v>
      </c>
      <c r="B9" s="0" t="n">
        <f aca="false">SUM(Chat_Log_Fictional!$L$3:$L$155)</f>
        <v>13</v>
      </c>
      <c r="C9" s="9" t="n">
        <f aca="false">B9/$B$2</f>
        <v>0.0849673202614379</v>
      </c>
      <c r="D9" s="5" t="n">
        <f aca="false">SUMPRODUCT(Chat_Log_Fictional!$L$3:$L$155,Chat_Log_Fictional!$E$3:$E$155)/B9</f>
        <v>9.23076923076923</v>
      </c>
      <c r="E9" s="5" t="n">
        <f aca="false">B9*D9/60</f>
        <v>2</v>
      </c>
      <c r="F9" s="5" t="n">
        <f aca="false">SUMPRODUCT(Chat_Log_Fictional!$L$3:$L$155,Chat_Log_Fictional!$F$3:$F$155)/B9</f>
        <v>4.07692307692308</v>
      </c>
      <c r="G9" s="9" t="n">
        <f aca="false">SUMPRODUCT(Chat_Log_Fictional!$L$3:$L$155,--(Chat_Log_Fictional!$G$3:$G$155="Y"))/B9</f>
        <v>0.153846153846154</v>
      </c>
      <c r="H9" s="5" t="n">
        <f aca="false">E9*(1+G9)*(5-F9)</f>
        <v>2.1301775147929</v>
      </c>
      <c r="I9" s="8" t="n">
        <f aca="false">RANK(H9,$H$5:$H$10)</f>
        <v>6</v>
      </c>
    </row>
    <row r="10" customFormat="false" ht="15" hidden="false" customHeight="false" outlineLevel="0" collapsed="false">
      <c r="A10" s="0" t="s">
        <v>177</v>
      </c>
      <c r="B10" s="0" t="n">
        <f aca="false">SUM(Chat_Log_Fictional!$M$3:$M$155)</f>
        <v>15</v>
      </c>
      <c r="C10" s="9" t="n">
        <f aca="false">B10/$B$2</f>
        <v>0.0980392156862745</v>
      </c>
      <c r="D10" s="5" t="n">
        <f aca="false">SUMPRODUCT(Chat_Log_Fictional!$M$3:$M$155,Chat_Log_Fictional!$E$3:$E$155)/B10</f>
        <v>9.93333333333333</v>
      </c>
      <c r="E10" s="5" t="n">
        <f aca="false">B10*D10/60</f>
        <v>2.48333333333333</v>
      </c>
      <c r="F10" s="5" t="n">
        <f aca="false">SUMPRODUCT(Chat_Log_Fictional!$M$3:$M$155,Chat_Log_Fictional!$F$3:$F$155)/B10</f>
        <v>4.13333333333333</v>
      </c>
      <c r="G10" s="9" t="n">
        <f aca="false">SUMPRODUCT(Chat_Log_Fictional!$M$3:$M$155,--(Chat_Log_Fictional!$G$3:$G$155="Y"))/B10</f>
        <v>0.2</v>
      </c>
      <c r="H10" s="5" t="n">
        <f aca="false">E10*(1+G10)*(5-F10)</f>
        <v>2.58266666666667</v>
      </c>
      <c r="I10" s="8" t="n">
        <f aca="false">RANK(H10,$H$5:$H$10)</f>
        <v>5</v>
      </c>
    </row>
    <row r="11" customFormat="false" ht="15" hidden="false" customHeight="false" outlineLevel="0" collapsed="false">
      <c r="A11" s="0" t="s">
        <v>504</v>
      </c>
      <c r="B11" s="0" t="n">
        <f aca="false">COUNTIF(Chat_Log_Fictional!$N$3:$N$155,0)</f>
        <v>14</v>
      </c>
      <c r="C11" s="9" t="n">
        <f aca="false">B11/$B$2</f>
        <v>0.0915032679738562</v>
      </c>
    </row>
    <row r="13" customFormat="false" ht="15" hidden="false" customHeight="false" outlineLevel="0" collapsed="false">
      <c r="A13" s="0" t="s">
        <v>505</v>
      </c>
    </row>
    <row r="14" customFormat="false" ht="15" hidden="false" customHeight="false" outlineLevel="0" collapsed="false">
      <c r="A14" s="0" t="s">
        <v>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8"/>
  </cols>
  <sheetData>
    <row r="1" customFormat="false" ht="15" hidden="false" customHeight="false" outlineLevel="0" collapsed="false">
      <c r="A1" s="3" t="s">
        <v>507</v>
      </c>
    </row>
    <row r="2" customFormat="false" ht="28.35" hidden="false" customHeight="false" outlineLevel="0" collapsed="false">
      <c r="A2" s="1" t="s">
        <v>210</v>
      </c>
      <c r="B2" s="1" t="s">
        <v>172</v>
      </c>
      <c r="C2" s="1" t="s">
        <v>173</v>
      </c>
      <c r="D2" s="1" t="s">
        <v>174</v>
      </c>
      <c r="E2" s="1" t="s">
        <v>175</v>
      </c>
      <c r="F2" s="1" t="s">
        <v>176</v>
      </c>
      <c r="G2" s="1" t="s">
        <v>177</v>
      </c>
    </row>
    <row r="3" customFormat="false" ht="15" hidden="false" customHeight="false" outlineLevel="0" collapsed="false">
      <c r="A3" s="0" t="n">
        <v>1</v>
      </c>
      <c r="B3" s="0" t="n">
        <f aca="false">SUMIFS(Chat_Log_Fictional!$H$3:$H$155,Chat_Log_Fictional!$B$3:$B$155,$A3)</f>
        <v>3</v>
      </c>
      <c r="C3" s="0" t="n">
        <f aca="false">SUMIFS(Chat_Log_Fictional!$I$3:$I$155,Chat_Log_Fictional!$B$3:$B$155,$A3)</f>
        <v>3</v>
      </c>
      <c r="D3" s="0" t="n">
        <f aca="false">SUMIFS(Chat_Log_Fictional!$J$3:$J$155,Chat_Log_Fictional!$B$3:$B$155,$A3)</f>
        <v>3</v>
      </c>
      <c r="E3" s="0" t="n">
        <f aca="false">SUMIFS(Chat_Log_Fictional!$K$3:$K$155,Chat_Log_Fictional!$B$3:$B$155,$A3)</f>
        <v>3</v>
      </c>
      <c r="F3" s="0" t="n">
        <f aca="false">SUMIFS(Chat_Log_Fictional!$L$3:$L$155,Chat_Log_Fictional!$B$3:$B$155,$A3)</f>
        <v>2</v>
      </c>
      <c r="G3" s="0" t="n">
        <f aca="false">SUMIFS(Chat_Log_Fictional!$M$3:$M$155,Chat_Log_Fictional!$B$3:$B$155,$A3)</f>
        <v>2</v>
      </c>
    </row>
    <row r="4" customFormat="false" ht="15" hidden="false" customHeight="false" outlineLevel="0" collapsed="false">
      <c r="A4" s="0" t="n">
        <v>2</v>
      </c>
      <c r="B4" s="0" t="n">
        <f aca="false">SUMIFS(Chat_Log_Fictional!$H$3:$H$155,Chat_Log_Fictional!$B$3:$B$155,$A4)</f>
        <v>3</v>
      </c>
      <c r="C4" s="0" t="n">
        <f aca="false">SUMIFS(Chat_Log_Fictional!$I$3:$I$155,Chat_Log_Fictional!$B$3:$B$155,$A4)</f>
        <v>3</v>
      </c>
      <c r="D4" s="0" t="n">
        <f aca="false">SUMIFS(Chat_Log_Fictional!$J$3:$J$155,Chat_Log_Fictional!$B$3:$B$155,$A4)</f>
        <v>3</v>
      </c>
      <c r="E4" s="0" t="n">
        <f aca="false">SUMIFS(Chat_Log_Fictional!$K$3:$K$155,Chat_Log_Fictional!$B$3:$B$155,$A4)</f>
        <v>3</v>
      </c>
      <c r="F4" s="0" t="n">
        <f aca="false">SUMIFS(Chat_Log_Fictional!$L$3:$L$155,Chat_Log_Fictional!$B$3:$B$155,$A4)</f>
        <v>2</v>
      </c>
      <c r="G4" s="0" t="n">
        <f aca="false">SUMIFS(Chat_Log_Fictional!$M$3:$M$155,Chat_Log_Fictional!$B$3:$B$155,$A4)</f>
        <v>2</v>
      </c>
    </row>
    <row r="5" customFormat="false" ht="15" hidden="false" customHeight="false" outlineLevel="0" collapsed="false">
      <c r="A5" s="0" t="n">
        <v>3</v>
      </c>
      <c r="B5" s="0" t="n">
        <f aca="false">SUMIFS(Chat_Log_Fictional!$H$3:$H$155,Chat_Log_Fictional!$B$3:$B$155,$A5)</f>
        <v>5</v>
      </c>
      <c r="C5" s="0" t="n">
        <f aca="false">SUMIFS(Chat_Log_Fictional!$I$3:$I$155,Chat_Log_Fictional!$B$3:$B$155,$A5)</f>
        <v>4</v>
      </c>
      <c r="D5" s="0" t="n">
        <f aca="false">SUMIFS(Chat_Log_Fictional!$J$3:$J$155,Chat_Log_Fictional!$B$3:$B$155,$A5)</f>
        <v>3</v>
      </c>
      <c r="E5" s="0" t="n">
        <f aca="false">SUMIFS(Chat_Log_Fictional!$K$3:$K$155,Chat_Log_Fictional!$B$3:$B$155,$A5)</f>
        <v>3</v>
      </c>
      <c r="F5" s="0" t="n">
        <f aca="false">SUMIFS(Chat_Log_Fictional!$L$3:$L$155,Chat_Log_Fictional!$B$3:$B$155,$A5)</f>
        <v>2</v>
      </c>
      <c r="G5" s="0" t="n">
        <f aca="false">SUMIFS(Chat_Log_Fictional!$M$3:$M$155,Chat_Log_Fictional!$B$3:$B$155,$A5)</f>
        <v>2</v>
      </c>
    </row>
    <row r="6" customFormat="false" ht="15" hidden="false" customHeight="false" outlineLevel="0" collapsed="false">
      <c r="A6" s="0" t="n">
        <v>4</v>
      </c>
      <c r="B6" s="0" t="n">
        <f aca="false">SUMIFS(Chat_Log_Fictional!$H$3:$H$155,Chat_Log_Fictional!$B$3:$B$155,$A6)</f>
        <v>3</v>
      </c>
      <c r="C6" s="0" t="n">
        <f aca="false">SUMIFS(Chat_Log_Fictional!$I$3:$I$155,Chat_Log_Fictional!$B$3:$B$155,$A6)</f>
        <v>3</v>
      </c>
      <c r="D6" s="0" t="n">
        <f aca="false">SUMIFS(Chat_Log_Fictional!$J$3:$J$155,Chat_Log_Fictional!$B$3:$B$155,$A6)</f>
        <v>3</v>
      </c>
      <c r="E6" s="0" t="n">
        <f aca="false">SUMIFS(Chat_Log_Fictional!$K$3:$K$155,Chat_Log_Fictional!$B$3:$B$155,$A6)</f>
        <v>3</v>
      </c>
      <c r="F6" s="0" t="n">
        <f aca="false">SUMIFS(Chat_Log_Fictional!$L$3:$L$155,Chat_Log_Fictional!$B$3:$B$155,$A6)</f>
        <v>1</v>
      </c>
      <c r="G6" s="0" t="n">
        <f aca="false">SUMIFS(Chat_Log_Fictional!$M$3:$M$155,Chat_Log_Fictional!$B$3:$B$155,$A6)</f>
        <v>2</v>
      </c>
    </row>
    <row r="7" customFormat="false" ht="15" hidden="false" customHeight="false" outlineLevel="0" collapsed="false">
      <c r="A7" s="0" t="n">
        <v>5</v>
      </c>
      <c r="B7" s="0" t="n">
        <f aca="false">SUMIFS(Chat_Log_Fictional!$H$3:$H$155,Chat_Log_Fictional!$B$3:$B$155,$A7)</f>
        <v>9</v>
      </c>
      <c r="C7" s="0" t="n">
        <f aca="false">SUMIFS(Chat_Log_Fictional!$I$3:$I$155,Chat_Log_Fictional!$B$3:$B$155,$A7)</f>
        <v>3</v>
      </c>
      <c r="D7" s="0" t="n">
        <f aca="false">SUMIFS(Chat_Log_Fictional!$J$3:$J$155,Chat_Log_Fictional!$B$3:$B$155,$A7)</f>
        <v>3</v>
      </c>
      <c r="E7" s="0" t="n">
        <f aca="false">SUMIFS(Chat_Log_Fictional!$K$3:$K$155,Chat_Log_Fictional!$B$3:$B$155,$A7)</f>
        <v>3</v>
      </c>
      <c r="F7" s="0" t="n">
        <f aca="false">SUMIFS(Chat_Log_Fictional!$L$3:$L$155,Chat_Log_Fictional!$B$3:$B$155,$A7)</f>
        <v>2</v>
      </c>
      <c r="G7" s="0" t="n">
        <f aca="false">SUMIFS(Chat_Log_Fictional!$M$3:$M$155,Chat_Log_Fictional!$B$3:$B$155,$A7)</f>
        <v>3</v>
      </c>
    </row>
    <row r="8" customFormat="false" ht="15" hidden="false" customHeight="false" outlineLevel="0" collapsed="false">
      <c r="A8" s="0" t="n">
        <v>6</v>
      </c>
      <c r="B8" s="0" t="n">
        <f aca="false">SUMIFS(Chat_Log_Fictional!$H$3:$H$155,Chat_Log_Fictional!$B$3:$B$155,$A8)</f>
        <v>10</v>
      </c>
      <c r="C8" s="0" t="n">
        <f aca="false">SUMIFS(Chat_Log_Fictional!$I$3:$I$155,Chat_Log_Fictional!$B$3:$B$155,$A8)</f>
        <v>4</v>
      </c>
      <c r="D8" s="0" t="n">
        <f aca="false">SUMIFS(Chat_Log_Fictional!$J$3:$J$155,Chat_Log_Fictional!$B$3:$B$155,$A8)</f>
        <v>4</v>
      </c>
      <c r="E8" s="0" t="n">
        <f aca="false">SUMIFS(Chat_Log_Fictional!$K$3:$K$155,Chat_Log_Fictional!$B$3:$B$155,$A8)</f>
        <v>3</v>
      </c>
      <c r="F8" s="0" t="n">
        <f aca="false">SUMIFS(Chat_Log_Fictional!$L$3:$L$155,Chat_Log_Fictional!$B$3:$B$155,$A8)</f>
        <v>2</v>
      </c>
      <c r="G8" s="0" t="n">
        <f aca="false">SUMIFS(Chat_Log_Fictional!$M$3:$M$155,Chat_Log_Fictional!$B$3:$B$155,$A8)</f>
        <v>2</v>
      </c>
    </row>
    <row r="9" customFormat="false" ht="15" hidden="false" customHeight="false" outlineLevel="0" collapsed="false">
      <c r="A9" s="0" t="n">
        <v>7</v>
      </c>
      <c r="B9" s="0" t="n">
        <f aca="false">SUMIFS(Chat_Log_Fictional!$H$3:$H$155,Chat_Log_Fictional!$B$3:$B$155,$A9)</f>
        <v>7</v>
      </c>
      <c r="C9" s="0" t="n">
        <f aca="false">SUMIFS(Chat_Log_Fictional!$I$3:$I$155,Chat_Log_Fictional!$B$3:$B$155,$A9)</f>
        <v>3</v>
      </c>
      <c r="D9" s="0" t="n">
        <f aca="false">SUMIFS(Chat_Log_Fictional!$J$3:$J$155,Chat_Log_Fictional!$B$3:$B$155,$A9)</f>
        <v>2</v>
      </c>
      <c r="E9" s="0" t="n">
        <f aca="false">SUMIFS(Chat_Log_Fictional!$K$3:$K$155,Chat_Log_Fictional!$B$3:$B$155,$A9)</f>
        <v>3</v>
      </c>
      <c r="F9" s="0" t="n">
        <f aca="false">SUMIFS(Chat_Log_Fictional!$L$3:$L$155,Chat_Log_Fictional!$B$3:$B$155,$A9)</f>
        <v>1</v>
      </c>
      <c r="G9" s="0" t="n">
        <f aca="false">SUMIFS(Chat_Log_Fictional!$M$3:$M$155,Chat_Log_Fictional!$B$3:$B$155,$A9)</f>
        <v>1</v>
      </c>
    </row>
    <row r="10" customFormat="false" ht="15" hidden="false" customHeight="false" outlineLevel="0" collapsed="false">
      <c r="A10" s="0" t="n">
        <v>8</v>
      </c>
      <c r="B10" s="0" t="n">
        <f aca="false">SUMIFS(Chat_Log_Fictional!$H$3:$H$155,Chat_Log_Fictional!$B$3:$B$155,$A10)</f>
        <v>4</v>
      </c>
      <c r="C10" s="0" t="n">
        <f aca="false">SUMIFS(Chat_Log_Fictional!$I$3:$I$155,Chat_Log_Fictional!$B$3:$B$155,$A10)</f>
        <v>3</v>
      </c>
      <c r="D10" s="0" t="n">
        <f aca="false">SUMIFS(Chat_Log_Fictional!$J$3:$J$155,Chat_Log_Fictional!$B$3:$B$155,$A10)</f>
        <v>2</v>
      </c>
      <c r="E10" s="0" t="n">
        <f aca="false">SUMIFS(Chat_Log_Fictional!$K$3:$K$155,Chat_Log_Fictional!$B$3:$B$155,$A10)</f>
        <v>2</v>
      </c>
      <c r="F10" s="0" t="n">
        <f aca="false">SUMIFS(Chat_Log_Fictional!$L$3:$L$155,Chat_Log_Fictional!$B$3:$B$155,$A10)</f>
        <v>1</v>
      </c>
      <c r="G10" s="0" t="n">
        <f aca="false">SUMIFS(Chat_Log_Fictional!$M$3:$M$155,Chat_Log_Fictional!$B$3:$B$155,$A10)</f>
        <v>1</v>
      </c>
    </row>
    <row r="12" customFormat="false" ht="15" hidden="false" customHeight="false" outlineLevel="0" collapsed="false">
      <c r="A12" s="0" t="s">
        <v>508</v>
      </c>
      <c r="B12" s="5" t="n">
        <f aca="false">AVERAGE(B3:B6)</f>
        <v>3.5</v>
      </c>
      <c r="C12" s="5" t="n">
        <f aca="false">AVERAGE(C3:C6)</f>
        <v>3.25</v>
      </c>
      <c r="D12" s="5" t="n">
        <f aca="false">AVERAGE(D3:D6)</f>
        <v>3</v>
      </c>
      <c r="E12" s="5" t="n">
        <f aca="false">AVERAGE(E3:E6)</f>
        <v>3</v>
      </c>
      <c r="F12" s="5" t="n">
        <f aca="false">AVERAGE(F3:F6)</f>
        <v>1.75</v>
      </c>
      <c r="G12" s="5" t="n">
        <f aca="false">AVERAGE(G3:G6)</f>
        <v>2</v>
      </c>
    </row>
    <row r="13" customFormat="false" ht="15" hidden="false" customHeight="false" outlineLevel="0" collapsed="false">
      <c r="A13" s="0" t="s">
        <v>509</v>
      </c>
      <c r="B13" s="5" t="n">
        <f aca="false">AVERAGE(B7:B9)</f>
        <v>8.66666666666667</v>
      </c>
      <c r="C13" s="5" t="n">
        <f aca="false">AVERAGE(C7:C9)</f>
        <v>3.33333333333333</v>
      </c>
      <c r="D13" s="5" t="n">
        <f aca="false">AVERAGE(D7:D9)</f>
        <v>3</v>
      </c>
      <c r="E13" s="5" t="n">
        <f aca="false">AVERAGE(E7:E9)</f>
        <v>3</v>
      </c>
      <c r="F13" s="5" t="n">
        <f aca="false">AVERAGE(F7:F9)</f>
        <v>1.66666666666667</v>
      </c>
      <c r="G13" s="5" t="n">
        <f aca="false">AVERAGE(G7:G9)</f>
        <v>2</v>
      </c>
    </row>
    <row r="14" customFormat="false" ht="15" hidden="false" customHeight="false" outlineLevel="0" collapsed="false">
      <c r="A14" s="0" t="s">
        <v>510</v>
      </c>
      <c r="B14" s="5" t="n">
        <f aca="false">B13/B12</f>
        <v>2.47619047619048</v>
      </c>
      <c r="C14" s="5" t="n">
        <f aca="false">C13/C12</f>
        <v>1.02564102564103</v>
      </c>
      <c r="D14" s="5" t="n">
        <f aca="false">D13/D12</f>
        <v>1</v>
      </c>
      <c r="E14" s="5" t="n">
        <f aca="false">E13/E12</f>
        <v>1</v>
      </c>
      <c r="F14" s="5" t="n">
        <f aca="false">F13/F12</f>
        <v>0.952380952380952</v>
      </c>
      <c r="G14" s="5" t="n">
        <f aca="false">G13/G12</f>
        <v>1</v>
      </c>
    </row>
    <row r="15" customFormat="false" ht="15" hidden="false" customHeight="false" outlineLevel="0" collapsed="false">
      <c r="A15" s="0" t="s">
        <v>511</v>
      </c>
      <c r="B15" s="0" t="str">
        <f aca="false">IF(B14&gt;1.5,"Investigate","Normal")</f>
        <v>Investigate</v>
      </c>
      <c r="C15" s="0" t="str">
        <f aca="false">IF(C14&gt;1.5,"Investigate","Normal")</f>
        <v>Normal</v>
      </c>
      <c r="D15" s="0" t="str">
        <f aca="false">IF(D14&gt;1.5,"Investigate","Normal")</f>
        <v>Normal</v>
      </c>
      <c r="E15" s="0" t="str">
        <f aca="false">IF(E14&gt;1.5,"Investigate","Normal")</f>
        <v>Normal</v>
      </c>
      <c r="F15" s="0" t="str">
        <f aca="false">IF(F14&gt;1.5,"Investigate","Normal")</f>
        <v>Normal</v>
      </c>
      <c r="G15" s="0" t="str">
        <f aca="false">IF(G14&gt;1.5,"Investigate","Normal")</f>
        <v>Normal</v>
      </c>
    </row>
    <row r="17" customFormat="false" ht="15" hidden="false" customHeight="false" outlineLevel="0" collapsed="false">
      <c r="A17" s="0" t="s">
        <v>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8"/>
    <col collapsed="false" customWidth="true" hidden="false" outlineLevel="0" max="3" min="3" style="0" width="60"/>
    <col collapsed="false" customWidth="true" hidden="false" outlineLevel="0" max="6" min="4" style="0" width="16"/>
    <col collapsed="false" customWidth="true" hidden="false" outlineLevel="0" max="7" min="7" style="0" width="32"/>
  </cols>
  <sheetData>
    <row r="1" customFormat="false" ht="15" hidden="false" customHeight="false" outlineLevel="0" collapsed="false">
      <c r="A1" s="3" t="s">
        <v>513</v>
      </c>
    </row>
    <row r="3" customFormat="false" ht="41.75" hidden="false" customHeight="false" outlineLevel="0" collapsed="false">
      <c r="A3" s="1" t="s">
        <v>495</v>
      </c>
      <c r="B3" s="1" t="s">
        <v>514</v>
      </c>
      <c r="C3" s="1" t="s">
        <v>515</v>
      </c>
      <c r="D3" s="1" t="s">
        <v>516</v>
      </c>
      <c r="E3" s="1" t="s">
        <v>517</v>
      </c>
      <c r="F3" s="1" t="s">
        <v>167</v>
      </c>
      <c r="G3" s="1" t="s">
        <v>518</v>
      </c>
    </row>
    <row r="4" customFormat="false" ht="28.35" hidden="false" customHeight="false" outlineLevel="0" collapsed="false">
      <c r="A4" s="0" t="s">
        <v>172</v>
      </c>
      <c r="B4" s="0" t="str">
        <f aca="false">Keyword_Analysis!B5&amp;" of "&amp;Keyword_Analysis!$B$2&amp;" chats ("&amp;TEXT(Keyword_Analysis!C5,"0%")&amp;"), avg CSAT "&amp;TEXT(Keyword_Analysis!F5,"0.0")</f>
        <v>44 of 153 chats (29%), avg CSAT 3.5</v>
      </c>
      <c r="C4" s="2" t="s">
        <v>519</v>
      </c>
      <c r="D4" s="12" t="n">
        <v>0.4</v>
      </c>
      <c r="E4" s="5" t="n">
        <f aca="false">Keyword_Analysis!B5/8*D4</f>
        <v>2.2</v>
      </c>
      <c r="F4" s="5" t="n">
        <f aca="false">E4*Keyword_Analysis!D5/60</f>
        <v>0.499166666666667</v>
      </c>
      <c r="G4" s="8" t="s">
        <v>520</v>
      </c>
    </row>
    <row r="5" customFormat="false" ht="15" hidden="false" customHeight="false" outlineLevel="0" collapsed="false">
      <c r="A5" s="0" t="s">
        <v>173</v>
      </c>
      <c r="B5" s="0" t="str">
        <f aca="false">Keyword_Analysis!B6&amp;" of "&amp;Keyword_Analysis!$B$2&amp;" chats ("&amp;TEXT(Keyword_Analysis!C6,"0%")&amp;"), avg CSAT "&amp;TEXT(Keyword_Analysis!F6,"0.0")</f>
        <v>26 of 153 chats (17%), avg CSAT 4.1</v>
      </c>
      <c r="C5" s="2" t="s">
        <v>521</v>
      </c>
      <c r="D5" s="12" t="n">
        <v>0.35</v>
      </c>
      <c r="E5" s="5" t="n">
        <f aca="false">Keyword_Analysis!B6/8*D5</f>
        <v>1.1375</v>
      </c>
      <c r="F5" s="5" t="n">
        <f aca="false">E5*Keyword_Analysis!D6/60</f>
        <v>0.234791666666667</v>
      </c>
      <c r="G5" s="8" t="s">
        <v>522</v>
      </c>
    </row>
    <row r="6" customFormat="false" ht="28.35" hidden="false" customHeight="false" outlineLevel="0" collapsed="false">
      <c r="A6" s="0" t="s">
        <v>174</v>
      </c>
      <c r="B6" s="0" t="str">
        <f aca="false">Keyword_Analysis!B7&amp;" of "&amp;Keyword_Analysis!$B$2&amp;" chats ("&amp;TEXT(Keyword_Analysis!C7,"0%")&amp;"), avg CSAT "&amp;TEXT(Keyword_Analysis!F7,"0.0")</f>
        <v>23 of 153 chats (15%), avg CSAT 2.3</v>
      </c>
      <c r="C6" s="2" t="s">
        <v>523</v>
      </c>
      <c r="D6" s="12" t="n">
        <v>0.35</v>
      </c>
      <c r="E6" s="5" t="n">
        <f aca="false">Keyword_Analysis!B7/8*D6</f>
        <v>1.00625</v>
      </c>
      <c r="F6" s="5" t="n">
        <f aca="false">E6*Keyword_Analysis!D7/60</f>
        <v>0.288020833333333</v>
      </c>
      <c r="G6" s="8" t="s">
        <v>524</v>
      </c>
    </row>
    <row r="7" customFormat="false" ht="15" hidden="false" customHeight="false" outlineLevel="0" collapsed="false">
      <c r="A7" s="0" t="s">
        <v>175</v>
      </c>
      <c r="B7" s="0" t="str">
        <f aca="false">Keyword_Analysis!B8&amp;" of "&amp;Keyword_Analysis!$B$2&amp;" chats ("&amp;TEXT(Keyword_Analysis!C8,"0%")&amp;"), avg CSAT "&amp;TEXT(Keyword_Analysis!F8,"0.0")</f>
        <v>23 of 153 chats (15%), avg CSAT 3.6</v>
      </c>
      <c r="C7" s="2" t="s">
        <v>525</v>
      </c>
      <c r="D7" s="12" t="n">
        <v>0.3</v>
      </c>
      <c r="E7" s="5" t="n">
        <f aca="false">Keyword_Analysis!B8/8*D7</f>
        <v>0.8625</v>
      </c>
      <c r="F7" s="5" t="n">
        <f aca="false">E7*Keyword_Analysis!D8/60</f>
        <v>0.16</v>
      </c>
      <c r="G7" s="8" t="s">
        <v>526</v>
      </c>
    </row>
    <row r="8" customFormat="false" ht="15" hidden="false" customHeight="false" outlineLevel="0" collapsed="false">
      <c r="A8" s="0" t="s">
        <v>176</v>
      </c>
      <c r="B8" s="0" t="str">
        <f aca="false">Keyword_Analysis!B9&amp;" of "&amp;Keyword_Analysis!$B$2&amp;" chats ("&amp;TEXT(Keyword_Analysis!C9,"0%")&amp;"), avg CSAT "&amp;TEXT(Keyword_Analysis!F9,"0.0")</f>
        <v>13 of 153 chats (8%), avg CSAT 4.1</v>
      </c>
      <c r="C8" s="2" t="s">
        <v>527</v>
      </c>
      <c r="D8" s="12" t="n">
        <v>0.2</v>
      </c>
      <c r="E8" s="5" t="n">
        <f aca="false">Keyword_Analysis!B9/8*D8</f>
        <v>0.325</v>
      </c>
      <c r="F8" s="5" t="n">
        <f aca="false">E8*Keyword_Analysis!D9/60</f>
        <v>0.05</v>
      </c>
      <c r="G8" s="8" t="s">
        <v>528</v>
      </c>
    </row>
    <row r="9" customFormat="false" ht="15" hidden="false" customHeight="false" outlineLevel="0" collapsed="false">
      <c r="A9" s="0" t="s">
        <v>177</v>
      </c>
      <c r="B9" s="0" t="str">
        <f aca="false">Keyword_Analysis!B10&amp;" of "&amp;Keyword_Analysis!$B$2&amp;" chats ("&amp;TEXT(Keyword_Analysis!C10,"0%")&amp;"), avg CSAT "&amp;TEXT(Keyword_Analysis!F10,"0.0")</f>
        <v>15 of 153 chats (10%), avg CSAT 4.1</v>
      </c>
      <c r="C9" s="2" t="s">
        <v>529</v>
      </c>
      <c r="D9" s="12" t="n">
        <v>0.25</v>
      </c>
      <c r="E9" s="5" t="n">
        <f aca="false">Keyword_Analysis!B10/8*D9</f>
        <v>0.46875</v>
      </c>
      <c r="F9" s="5" t="n">
        <f aca="false">E9*Keyword_Analysis!D10/60</f>
        <v>0.0776041666666667</v>
      </c>
      <c r="G9" s="8" t="s">
        <v>530</v>
      </c>
    </row>
    <row r="10" customFormat="false" ht="15" hidden="false" customHeight="false" outlineLevel="0" collapsed="false">
      <c r="A10" s="0" t="s">
        <v>531</v>
      </c>
      <c r="E10" s="5" t="n">
        <f aca="false">SUM(E4:E9)</f>
        <v>6</v>
      </c>
      <c r="F10" s="5" t="n">
        <f aca="false">SUM(F4:F9)</f>
        <v>1.30958333333333</v>
      </c>
    </row>
    <row r="12" customFormat="false" ht="15" hidden="false" customHeight="false" outlineLevel="0" collapsed="false">
      <c r="A12" s="0" t="s">
        <v>532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2026-10-24T17:37:10Z</dcterms:created>
  <dc:creator>openpyxl</dc:creator>
  <dc:description/>
  <dc:language>en-US</dc:language>
  <cp:lastModifiedBy/>
  <dcterms:modified xsi:type="dcterms:W3CDTF">2026-10-24T17:37:10Z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